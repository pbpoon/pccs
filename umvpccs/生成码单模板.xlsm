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bpoo_000\Desktop\企业激活后UMVsoftRDP_V2.2.0.0359 - 副本 - 副本\"/>
    </mc:Choice>
  </mc:AlternateContent>
  <workbookProtection lockStructure="1"/>
  <bookViews>
    <workbookView xWindow="0" yWindow="0" windowWidth="21600" windowHeight="9732"/>
  </bookViews>
  <sheets>
    <sheet name="大板" sheetId="1" r:id="rId1"/>
    <sheet name="大标签" sheetId="4" r:id="rId2"/>
    <sheet name="标签" sheetId="2" r:id="rId3"/>
    <sheet name="格式" sheetId="77" state="hidden" r:id="rId4"/>
  </sheets>
  <definedNames>
    <definedName name="_xlnm._FilterDatabase" localSheetId="0" hidden="1">大板!$A$7:$S$8</definedName>
    <definedName name="_xlnm.Print_Area" localSheetId="2">标签!$B$3:$G$50</definedName>
    <definedName name="_xlnm.Print_Area" localSheetId="0">大板!$A$1:$S$117</definedName>
    <definedName name="_xlnm.Print_Area" localSheetId="1">大标签!$B$6:$L$189</definedName>
    <definedName name="_xlnm.Print_Titles" localSheetId="2">标签!$1:$2</definedName>
    <definedName name="_xlnm.Print_Titles" localSheetId="0">大板!$1:$8</definedName>
    <definedName name="_xlnm.Print_Titles" localSheetId="1">大标签!$1:$5</definedName>
    <definedName name="厚度规格">大板!$V$1:$V$9</definedName>
  </definedNames>
  <calcPr calcId="152511"/>
</workbook>
</file>

<file path=xl/calcChain.xml><?xml version="1.0" encoding="utf-8"?>
<calcChain xmlns="http://schemas.openxmlformats.org/spreadsheetml/2006/main">
  <c r="S95" i="1" l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94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67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40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13" i="1"/>
  <c r="H4" i="4" l="1"/>
  <c r="H3" i="4"/>
  <c r="H2" i="4" l="1"/>
  <c r="I187" i="4"/>
  <c r="J187" i="4" s="1"/>
  <c r="G187" i="4"/>
  <c r="H187" i="4" s="1"/>
  <c r="E187" i="4"/>
  <c r="C187" i="4"/>
  <c r="D187" i="4" s="1"/>
  <c r="I186" i="4"/>
  <c r="J186" i="4" s="1"/>
  <c r="G186" i="4"/>
  <c r="F186" i="4" s="1"/>
  <c r="E186" i="4"/>
  <c r="C186" i="4"/>
  <c r="B186" i="4" s="1"/>
  <c r="I185" i="4"/>
  <c r="J185" i="4" s="1"/>
  <c r="G185" i="4"/>
  <c r="H185" i="4" s="1"/>
  <c r="E185" i="4"/>
  <c r="C185" i="4"/>
  <c r="D185" i="4" s="1"/>
  <c r="I184" i="4"/>
  <c r="J184" i="4" s="1"/>
  <c r="G184" i="4"/>
  <c r="F184" i="4" s="1"/>
  <c r="E184" i="4"/>
  <c r="C184" i="4"/>
  <c r="B184" i="4" s="1"/>
  <c r="I183" i="4"/>
  <c r="J183" i="4" s="1"/>
  <c r="G183" i="4"/>
  <c r="H183" i="4" s="1"/>
  <c r="E183" i="4"/>
  <c r="C183" i="4"/>
  <c r="D183" i="4" s="1"/>
  <c r="I182" i="4"/>
  <c r="J182" i="4" s="1"/>
  <c r="G182" i="4"/>
  <c r="F182" i="4" s="1"/>
  <c r="E182" i="4"/>
  <c r="C182" i="4"/>
  <c r="B182" i="4" s="1"/>
  <c r="I181" i="4"/>
  <c r="J181" i="4" s="1"/>
  <c r="G181" i="4"/>
  <c r="H181" i="4" s="1"/>
  <c r="E181" i="4"/>
  <c r="C181" i="4"/>
  <c r="D181" i="4" s="1"/>
  <c r="I180" i="4"/>
  <c r="J180" i="4" s="1"/>
  <c r="G180" i="4"/>
  <c r="F180" i="4" s="1"/>
  <c r="E180" i="4"/>
  <c r="C180" i="4"/>
  <c r="B180" i="4" s="1"/>
  <c r="I179" i="4"/>
  <c r="J179" i="4" s="1"/>
  <c r="G179" i="4"/>
  <c r="H179" i="4" s="1"/>
  <c r="E179" i="4"/>
  <c r="C179" i="4"/>
  <c r="D179" i="4" s="1"/>
  <c r="I178" i="4"/>
  <c r="J178" i="4" s="1"/>
  <c r="G178" i="4"/>
  <c r="F178" i="4" s="1"/>
  <c r="E178" i="4"/>
  <c r="C178" i="4"/>
  <c r="B178" i="4" s="1"/>
  <c r="I177" i="4"/>
  <c r="J177" i="4" s="1"/>
  <c r="G177" i="4"/>
  <c r="H177" i="4" s="1"/>
  <c r="E177" i="4"/>
  <c r="C177" i="4"/>
  <c r="D177" i="4" s="1"/>
  <c r="I176" i="4"/>
  <c r="J176" i="4" s="1"/>
  <c r="G176" i="4"/>
  <c r="F176" i="4" s="1"/>
  <c r="E176" i="4"/>
  <c r="C176" i="4"/>
  <c r="B176" i="4" s="1"/>
  <c r="I175" i="4"/>
  <c r="J175" i="4" s="1"/>
  <c r="G175" i="4"/>
  <c r="H175" i="4" s="1"/>
  <c r="E175" i="4"/>
  <c r="C175" i="4"/>
  <c r="D175" i="4" s="1"/>
  <c r="I174" i="4"/>
  <c r="J174" i="4" s="1"/>
  <c r="G174" i="4"/>
  <c r="F174" i="4" s="1"/>
  <c r="E174" i="4"/>
  <c r="C174" i="4"/>
  <c r="B174" i="4" s="1"/>
  <c r="I173" i="4"/>
  <c r="J173" i="4" s="1"/>
  <c r="G173" i="4"/>
  <c r="H173" i="4" s="1"/>
  <c r="E173" i="4"/>
  <c r="C173" i="4"/>
  <c r="D173" i="4" s="1"/>
  <c r="I172" i="4"/>
  <c r="J172" i="4" s="1"/>
  <c r="G172" i="4"/>
  <c r="F172" i="4" s="1"/>
  <c r="E172" i="4"/>
  <c r="C172" i="4"/>
  <c r="B172" i="4" s="1"/>
  <c r="I171" i="4"/>
  <c r="J171" i="4" s="1"/>
  <c r="G171" i="4"/>
  <c r="H171" i="4" s="1"/>
  <c r="E171" i="4"/>
  <c r="C171" i="4"/>
  <c r="D171" i="4" s="1"/>
  <c r="I170" i="4"/>
  <c r="J170" i="4" s="1"/>
  <c r="G170" i="4"/>
  <c r="F170" i="4" s="1"/>
  <c r="E170" i="4"/>
  <c r="C170" i="4"/>
  <c r="B170" i="4" s="1"/>
  <c r="I169" i="4"/>
  <c r="J169" i="4" s="1"/>
  <c r="G169" i="4"/>
  <c r="H169" i="4" s="1"/>
  <c r="E169" i="4"/>
  <c r="C169" i="4"/>
  <c r="D169" i="4" s="1"/>
  <c r="I168" i="4"/>
  <c r="J168" i="4" s="1"/>
  <c r="G168" i="4"/>
  <c r="F168" i="4" s="1"/>
  <c r="E168" i="4"/>
  <c r="C168" i="4"/>
  <c r="B168" i="4" s="1"/>
  <c r="I164" i="4"/>
  <c r="J164" i="4" s="1"/>
  <c r="G164" i="4"/>
  <c r="H164" i="4" s="1"/>
  <c r="E164" i="4"/>
  <c r="C164" i="4"/>
  <c r="D164" i="4" s="1"/>
  <c r="I163" i="4"/>
  <c r="J163" i="4" s="1"/>
  <c r="G163" i="4"/>
  <c r="F163" i="4" s="1"/>
  <c r="E163" i="4"/>
  <c r="C163" i="4"/>
  <c r="B163" i="4" s="1"/>
  <c r="I162" i="4"/>
  <c r="J162" i="4" s="1"/>
  <c r="G162" i="4"/>
  <c r="F162" i="4" s="1"/>
  <c r="E162" i="4"/>
  <c r="C162" i="4"/>
  <c r="B162" i="4" s="1"/>
  <c r="I161" i="4"/>
  <c r="J161" i="4" s="1"/>
  <c r="G161" i="4"/>
  <c r="F161" i="4" s="1"/>
  <c r="E161" i="4"/>
  <c r="C161" i="4"/>
  <c r="B161" i="4" s="1"/>
  <c r="I160" i="4"/>
  <c r="J160" i="4" s="1"/>
  <c r="G160" i="4"/>
  <c r="F160" i="4" s="1"/>
  <c r="E160" i="4"/>
  <c r="C160" i="4"/>
  <c r="B160" i="4" s="1"/>
  <c r="I159" i="4"/>
  <c r="J159" i="4" s="1"/>
  <c r="G159" i="4"/>
  <c r="F159" i="4" s="1"/>
  <c r="E159" i="4"/>
  <c r="C159" i="4"/>
  <c r="B159" i="4" s="1"/>
  <c r="I158" i="4"/>
  <c r="J158" i="4" s="1"/>
  <c r="G158" i="4"/>
  <c r="F158" i="4" s="1"/>
  <c r="E158" i="4"/>
  <c r="C158" i="4"/>
  <c r="B158" i="4" s="1"/>
  <c r="I157" i="4"/>
  <c r="J157" i="4" s="1"/>
  <c r="G157" i="4"/>
  <c r="F157" i="4" s="1"/>
  <c r="E157" i="4"/>
  <c r="C157" i="4"/>
  <c r="B157" i="4" s="1"/>
  <c r="I156" i="4"/>
  <c r="J156" i="4" s="1"/>
  <c r="G156" i="4"/>
  <c r="F156" i="4" s="1"/>
  <c r="E156" i="4"/>
  <c r="C156" i="4"/>
  <c r="B156" i="4" s="1"/>
  <c r="I155" i="4"/>
  <c r="J155" i="4" s="1"/>
  <c r="G155" i="4"/>
  <c r="H155" i="4" s="1"/>
  <c r="E155" i="4"/>
  <c r="C155" i="4"/>
  <c r="D155" i="4" s="1"/>
  <c r="I154" i="4"/>
  <c r="J154" i="4" s="1"/>
  <c r="G154" i="4"/>
  <c r="F154" i="4" s="1"/>
  <c r="E154" i="4"/>
  <c r="C154" i="4"/>
  <c r="B154" i="4" s="1"/>
  <c r="I153" i="4"/>
  <c r="J153" i="4" s="1"/>
  <c r="G153" i="4"/>
  <c r="H153" i="4" s="1"/>
  <c r="E153" i="4"/>
  <c r="C153" i="4"/>
  <c r="D153" i="4" s="1"/>
  <c r="I152" i="4"/>
  <c r="J152" i="4" s="1"/>
  <c r="G152" i="4"/>
  <c r="F152" i="4" s="1"/>
  <c r="E152" i="4"/>
  <c r="C152" i="4"/>
  <c r="B152" i="4" s="1"/>
  <c r="I151" i="4"/>
  <c r="J151" i="4" s="1"/>
  <c r="G151" i="4"/>
  <c r="H151" i="4" s="1"/>
  <c r="E151" i="4"/>
  <c r="C151" i="4"/>
  <c r="D151" i="4" s="1"/>
  <c r="I150" i="4"/>
  <c r="J150" i="4" s="1"/>
  <c r="G150" i="4"/>
  <c r="F150" i="4" s="1"/>
  <c r="E150" i="4"/>
  <c r="C150" i="4"/>
  <c r="B150" i="4" s="1"/>
  <c r="I149" i="4"/>
  <c r="J149" i="4" s="1"/>
  <c r="G149" i="4"/>
  <c r="H149" i="4" s="1"/>
  <c r="E149" i="4"/>
  <c r="C149" i="4"/>
  <c r="D149" i="4" s="1"/>
  <c r="I148" i="4"/>
  <c r="J148" i="4" s="1"/>
  <c r="G148" i="4"/>
  <c r="F148" i="4" s="1"/>
  <c r="E148" i="4"/>
  <c r="C148" i="4"/>
  <c r="B148" i="4" s="1"/>
  <c r="I147" i="4"/>
  <c r="J147" i="4" s="1"/>
  <c r="G147" i="4"/>
  <c r="H147" i="4" s="1"/>
  <c r="E147" i="4"/>
  <c r="C147" i="4"/>
  <c r="D147" i="4" s="1"/>
  <c r="I146" i="4"/>
  <c r="J146" i="4" s="1"/>
  <c r="G146" i="4"/>
  <c r="F146" i="4" s="1"/>
  <c r="E146" i="4"/>
  <c r="C146" i="4"/>
  <c r="B146" i="4" s="1"/>
  <c r="I145" i="4"/>
  <c r="J145" i="4" s="1"/>
  <c r="G145" i="4"/>
  <c r="H145" i="4" s="1"/>
  <c r="E145" i="4"/>
  <c r="C145" i="4"/>
  <c r="D145" i="4" s="1"/>
  <c r="I141" i="4"/>
  <c r="J141" i="4" s="1"/>
  <c r="G141" i="4"/>
  <c r="F141" i="4" s="1"/>
  <c r="E141" i="4"/>
  <c r="C141" i="4"/>
  <c r="I140" i="4"/>
  <c r="J140" i="4" s="1"/>
  <c r="G140" i="4"/>
  <c r="E140" i="4"/>
  <c r="C140" i="4"/>
  <c r="D140" i="4" s="1"/>
  <c r="I139" i="4"/>
  <c r="J139" i="4" s="1"/>
  <c r="G139" i="4"/>
  <c r="E139" i="4"/>
  <c r="C139" i="4"/>
  <c r="B139" i="4" s="1"/>
  <c r="I138" i="4"/>
  <c r="J138" i="4" s="1"/>
  <c r="G138" i="4"/>
  <c r="H138" i="4" s="1"/>
  <c r="E138" i="4"/>
  <c r="C138" i="4"/>
  <c r="D138" i="4" s="1"/>
  <c r="I137" i="4"/>
  <c r="J137" i="4" s="1"/>
  <c r="G137" i="4"/>
  <c r="F137" i="4" s="1"/>
  <c r="E137" i="4"/>
  <c r="C137" i="4"/>
  <c r="B137" i="4" s="1"/>
  <c r="I136" i="4"/>
  <c r="J136" i="4" s="1"/>
  <c r="G136" i="4"/>
  <c r="E136" i="4"/>
  <c r="C136" i="4"/>
  <c r="D136" i="4" s="1"/>
  <c r="I135" i="4"/>
  <c r="J135" i="4" s="1"/>
  <c r="G135" i="4"/>
  <c r="E135" i="4"/>
  <c r="C135" i="4"/>
  <c r="B135" i="4" s="1"/>
  <c r="I134" i="4"/>
  <c r="J134" i="4" s="1"/>
  <c r="G134" i="4"/>
  <c r="H134" i="4" s="1"/>
  <c r="E134" i="4"/>
  <c r="C134" i="4"/>
  <c r="I133" i="4"/>
  <c r="J133" i="4" s="1"/>
  <c r="G133" i="4"/>
  <c r="E133" i="4"/>
  <c r="C133" i="4"/>
  <c r="I132" i="4"/>
  <c r="J132" i="4" s="1"/>
  <c r="G132" i="4"/>
  <c r="E132" i="4"/>
  <c r="C132" i="4"/>
  <c r="I131" i="4"/>
  <c r="J131" i="4" s="1"/>
  <c r="G131" i="4"/>
  <c r="E131" i="4"/>
  <c r="C131" i="4"/>
  <c r="B131" i="4" s="1"/>
  <c r="I130" i="4"/>
  <c r="J130" i="4" s="1"/>
  <c r="G130" i="4"/>
  <c r="H130" i="4" s="1"/>
  <c r="E130" i="4"/>
  <c r="C130" i="4"/>
  <c r="I129" i="4"/>
  <c r="J129" i="4" s="1"/>
  <c r="G129" i="4"/>
  <c r="F129" i="4" s="1"/>
  <c r="E129" i="4"/>
  <c r="C129" i="4"/>
  <c r="I128" i="4"/>
  <c r="J128" i="4" s="1"/>
  <c r="G128" i="4"/>
  <c r="E128" i="4"/>
  <c r="C128" i="4"/>
  <c r="D128" i="4" s="1"/>
  <c r="I127" i="4"/>
  <c r="J127" i="4" s="1"/>
  <c r="G127" i="4"/>
  <c r="H127" i="4" s="1"/>
  <c r="E127" i="4"/>
  <c r="C127" i="4"/>
  <c r="D127" i="4" s="1"/>
  <c r="I126" i="4"/>
  <c r="J126" i="4" s="1"/>
  <c r="G126" i="4"/>
  <c r="H126" i="4" s="1"/>
  <c r="E126" i="4"/>
  <c r="C126" i="4"/>
  <c r="D126" i="4" s="1"/>
  <c r="I125" i="4"/>
  <c r="J125" i="4" s="1"/>
  <c r="G125" i="4"/>
  <c r="H125" i="4" s="1"/>
  <c r="E125" i="4"/>
  <c r="C125" i="4"/>
  <c r="D125" i="4" s="1"/>
  <c r="I124" i="4"/>
  <c r="J124" i="4" s="1"/>
  <c r="G124" i="4"/>
  <c r="F124" i="4" s="1"/>
  <c r="E124" i="4"/>
  <c r="C124" i="4"/>
  <c r="B124" i="4" s="1"/>
  <c r="I123" i="4"/>
  <c r="J123" i="4" s="1"/>
  <c r="G123" i="4"/>
  <c r="H123" i="4" s="1"/>
  <c r="E123" i="4"/>
  <c r="C123" i="4"/>
  <c r="D123" i="4" s="1"/>
  <c r="I122" i="4"/>
  <c r="J122" i="4" s="1"/>
  <c r="G122" i="4"/>
  <c r="F122" i="4" s="1"/>
  <c r="E122" i="4"/>
  <c r="C122" i="4"/>
  <c r="B122" i="4" s="1"/>
  <c r="I118" i="4"/>
  <c r="J118" i="4" s="1"/>
  <c r="G118" i="4"/>
  <c r="E118" i="4"/>
  <c r="C118" i="4"/>
  <c r="I117" i="4"/>
  <c r="J117" i="4" s="1"/>
  <c r="G117" i="4"/>
  <c r="E117" i="4"/>
  <c r="C117" i="4"/>
  <c r="I116" i="4"/>
  <c r="J116" i="4" s="1"/>
  <c r="G116" i="4"/>
  <c r="E116" i="4"/>
  <c r="C116" i="4"/>
  <c r="I115" i="4"/>
  <c r="J115" i="4" s="1"/>
  <c r="G115" i="4"/>
  <c r="E115" i="4"/>
  <c r="C115" i="4"/>
  <c r="I114" i="4"/>
  <c r="J114" i="4" s="1"/>
  <c r="G114" i="4"/>
  <c r="E114" i="4"/>
  <c r="C114" i="4"/>
  <c r="I113" i="4"/>
  <c r="J113" i="4" s="1"/>
  <c r="G113" i="4"/>
  <c r="E113" i="4"/>
  <c r="C113" i="4"/>
  <c r="I112" i="4"/>
  <c r="J112" i="4" s="1"/>
  <c r="G112" i="4"/>
  <c r="E112" i="4"/>
  <c r="C112" i="4"/>
  <c r="I111" i="4"/>
  <c r="J111" i="4" s="1"/>
  <c r="G111" i="4"/>
  <c r="E111" i="4"/>
  <c r="C111" i="4"/>
  <c r="I110" i="4"/>
  <c r="J110" i="4" s="1"/>
  <c r="G110" i="4"/>
  <c r="E110" i="4"/>
  <c r="C110" i="4"/>
  <c r="I109" i="4"/>
  <c r="J109" i="4" s="1"/>
  <c r="G109" i="4"/>
  <c r="E109" i="4"/>
  <c r="C109" i="4"/>
  <c r="I108" i="4"/>
  <c r="J108" i="4" s="1"/>
  <c r="G108" i="4"/>
  <c r="E108" i="4"/>
  <c r="C108" i="4"/>
  <c r="I107" i="4"/>
  <c r="J107" i="4" s="1"/>
  <c r="G107" i="4"/>
  <c r="E107" i="4"/>
  <c r="C107" i="4"/>
  <c r="I106" i="4"/>
  <c r="J106" i="4" s="1"/>
  <c r="G106" i="4"/>
  <c r="E106" i="4"/>
  <c r="C106" i="4"/>
  <c r="I105" i="4"/>
  <c r="J105" i="4" s="1"/>
  <c r="G105" i="4"/>
  <c r="E105" i="4"/>
  <c r="C105" i="4"/>
  <c r="I104" i="4"/>
  <c r="J104" i="4" s="1"/>
  <c r="G104" i="4"/>
  <c r="E104" i="4"/>
  <c r="C104" i="4"/>
  <c r="I103" i="4"/>
  <c r="J103" i="4" s="1"/>
  <c r="G103" i="4"/>
  <c r="E103" i="4"/>
  <c r="C103" i="4"/>
  <c r="I102" i="4"/>
  <c r="J102" i="4" s="1"/>
  <c r="G102" i="4"/>
  <c r="E102" i="4"/>
  <c r="C102" i="4"/>
  <c r="I101" i="4"/>
  <c r="J101" i="4" s="1"/>
  <c r="G101" i="4"/>
  <c r="E101" i="4"/>
  <c r="C101" i="4"/>
  <c r="I100" i="4"/>
  <c r="J100" i="4" s="1"/>
  <c r="G100" i="4"/>
  <c r="E100" i="4"/>
  <c r="C100" i="4"/>
  <c r="I99" i="4"/>
  <c r="J99" i="4" s="1"/>
  <c r="G99" i="4"/>
  <c r="E99" i="4"/>
  <c r="C99" i="4"/>
  <c r="I95" i="4"/>
  <c r="J95" i="4" s="1"/>
  <c r="G95" i="4"/>
  <c r="F95" i="4" s="1"/>
  <c r="E95" i="4"/>
  <c r="C95" i="4"/>
  <c r="B95" i="4" s="1"/>
  <c r="I94" i="4"/>
  <c r="J94" i="4" s="1"/>
  <c r="G94" i="4"/>
  <c r="H94" i="4" s="1"/>
  <c r="E94" i="4"/>
  <c r="C94" i="4"/>
  <c r="D94" i="4" s="1"/>
  <c r="I93" i="4"/>
  <c r="J93" i="4" s="1"/>
  <c r="G93" i="4"/>
  <c r="F93" i="4" s="1"/>
  <c r="E93" i="4"/>
  <c r="C93" i="4"/>
  <c r="B93" i="4" s="1"/>
  <c r="I92" i="4"/>
  <c r="J92" i="4" s="1"/>
  <c r="G92" i="4"/>
  <c r="H92" i="4" s="1"/>
  <c r="E92" i="4"/>
  <c r="C92" i="4"/>
  <c r="D92" i="4" s="1"/>
  <c r="I91" i="4"/>
  <c r="J91" i="4" s="1"/>
  <c r="G91" i="4"/>
  <c r="F91" i="4" s="1"/>
  <c r="E91" i="4"/>
  <c r="C91" i="4"/>
  <c r="B91" i="4" s="1"/>
  <c r="I90" i="4"/>
  <c r="J90" i="4" s="1"/>
  <c r="G90" i="4"/>
  <c r="H90" i="4" s="1"/>
  <c r="E90" i="4"/>
  <c r="C90" i="4"/>
  <c r="D90" i="4" s="1"/>
  <c r="I89" i="4"/>
  <c r="J89" i="4" s="1"/>
  <c r="G89" i="4"/>
  <c r="F89" i="4" s="1"/>
  <c r="E89" i="4"/>
  <c r="C89" i="4"/>
  <c r="B89" i="4" s="1"/>
  <c r="I88" i="4"/>
  <c r="J88" i="4" s="1"/>
  <c r="G88" i="4"/>
  <c r="H88" i="4" s="1"/>
  <c r="E88" i="4"/>
  <c r="C88" i="4"/>
  <c r="D88" i="4" s="1"/>
  <c r="I87" i="4"/>
  <c r="J87" i="4" s="1"/>
  <c r="G87" i="4"/>
  <c r="F87" i="4" s="1"/>
  <c r="E87" i="4"/>
  <c r="C87" i="4"/>
  <c r="B87" i="4" s="1"/>
  <c r="I86" i="4"/>
  <c r="J86" i="4" s="1"/>
  <c r="G86" i="4"/>
  <c r="H86" i="4" s="1"/>
  <c r="E86" i="4"/>
  <c r="C86" i="4"/>
  <c r="D86" i="4" s="1"/>
  <c r="I85" i="4"/>
  <c r="J85" i="4" s="1"/>
  <c r="G85" i="4"/>
  <c r="F85" i="4" s="1"/>
  <c r="E85" i="4"/>
  <c r="C85" i="4"/>
  <c r="B85" i="4" s="1"/>
  <c r="I84" i="4"/>
  <c r="J84" i="4" s="1"/>
  <c r="G84" i="4"/>
  <c r="H84" i="4" s="1"/>
  <c r="E84" i="4"/>
  <c r="C84" i="4"/>
  <c r="D84" i="4" s="1"/>
  <c r="I83" i="4"/>
  <c r="J83" i="4" s="1"/>
  <c r="G83" i="4"/>
  <c r="F83" i="4" s="1"/>
  <c r="E83" i="4"/>
  <c r="C83" i="4"/>
  <c r="B83" i="4" s="1"/>
  <c r="I82" i="4"/>
  <c r="J82" i="4" s="1"/>
  <c r="G82" i="4"/>
  <c r="H82" i="4" s="1"/>
  <c r="E82" i="4"/>
  <c r="C82" i="4"/>
  <c r="D82" i="4" s="1"/>
  <c r="I81" i="4"/>
  <c r="J81" i="4" s="1"/>
  <c r="G81" i="4"/>
  <c r="F81" i="4" s="1"/>
  <c r="E81" i="4"/>
  <c r="C81" i="4"/>
  <c r="B81" i="4" s="1"/>
  <c r="I80" i="4"/>
  <c r="J80" i="4" s="1"/>
  <c r="G80" i="4"/>
  <c r="H80" i="4" s="1"/>
  <c r="E80" i="4"/>
  <c r="C80" i="4"/>
  <c r="D80" i="4" s="1"/>
  <c r="I79" i="4"/>
  <c r="J79" i="4" s="1"/>
  <c r="G79" i="4"/>
  <c r="F79" i="4" s="1"/>
  <c r="E79" i="4"/>
  <c r="C79" i="4"/>
  <c r="B79" i="4" s="1"/>
  <c r="I78" i="4"/>
  <c r="J78" i="4" s="1"/>
  <c r="G78" i="4"/>
  <c r="H78" i="4" s="1"/>
  <c r="E78" i="4"/>
  <c r="C78" i="4"/>
  <c r="D78" i="4" s="1"/>
  <c r="I77" i="4"/>
  <c r="J77" i="4" s="1"/>
  <c r="G77" i="4"/>
  <c r="F77" i="4" s="1"/>
  <c r="E77" i="4"/>
  <c r="C77" i="4"/>
  <c r="B77" i="4" s="1"/>
  <c r="I76" i="4"/>
  <c r="J76" i="4" s="1"/>
  <c r="G76" i="4"/>
  <c r="H76" i="4" s="1"/>
  <c r="E76" i="4"/>
  <c r="C76" i="4"/>
  <c r="D76" i="4" s="1"/>
  <c r="I72" i="4"/>
  <c r="J72" i="4" s="1"/>
  <c r="G72" i="4"/>
  <c r="H72" i="4" s="1"/>
  <c r="E72" i="4"/>
  <c r="C72" i="4"/>
  <c r="D72" i="4" s="1"/>
  <c r="I71" i="4"/>
  <c r="J71" i="4" s="1"/>
  <c r="G71" i="4"/>
  <c r="E71" i="4"/>
  <c r="C71" i="4"/>
  <c r="B71" i="4" s="1"/>
  <c r="I70" i="4"/>
  <c r="J70" i="4" s="1"/>
  <c r="G70" i="4"/>
  <c r="H70" i="4" s="1"/>
  <c r="E70" i="4"/>
  <c r="C70" i="4"/>
  <c r="D70" i="4" s="1"/>
  <c r="I69" i="4"/>
  <c r="J69" i="4" s="1"/>
  <c r="G69" i="4"/>
  <c r="F69" i="4" s="1"/>
  <c r="E69" i="4"/>
  <c r="C69" i="4"/>
  <c r="B69" i="4" s="1"/>
  <c r="I68" i="4"/>
  <c r="J68" i="4" s="1"/>
  <c r="G68" i="4"/>
  <c r="E68" i="4"/>
  <c r="C68" i="4"/>
  <c r="D68" i="4" s="1"/>
  <c r="I67" i="4"/>
  <c r="J67" i="4" s="1"/>
  <c r="G67" i="4"/>
  <c r="F67" i="4" s="1"/>
  <c r="E67" i="4"/>
  <c r="C67" i="4"/>
  <c r="B67" i="4" s="1"/>
  <c r="I66" i="4"/>
  <c r="J66" i="4" s="1"/>
  <c r="G66" i="4"/>
  <c r="H66" i="4" s="1"/>
  <c r="E66" i="4"/>
  <c r="C66" i="4"/>
  <c r="D66" i="4" s="1"/>
  <c r="I65" i="4"/>
  <c r="J65" i="4" s="1"/>
  <c r="G65" i="4"/>
  <c r="F65" i="4" s="1"/>
  <c r="E65" i="4"/>
  <c r="C65" i="4"/>
  <c r="I64" i="4"/>
  <c r="J64" i="4" s="1"/>
  <c r="G64" i="4"/>
  <c r="H64" i="4" s="1"/>
  <c r="E64" i="4"/>
  <c r="C64" i="4"/>
  <c r="D64" i="4" s="1"/>
  <c r="I63" i="4"/>
  <c r="J63" i="4" s="1"/>
  <c r="G63" i="4"/>
  <c r="F63" i="4" s="1"/>
  <c r="E63" i="4"/>
  <c r="C63" i="4"/>
  <c r="D63" i="4" s="1"/>
  <c r="I62" i="4"/>
  <c r="J62" i="4" s="1"/>
  <c r="G62" i="4"/>
  <c r="F62" i="4" s="1"/>
  <c r="E62" i="4"/>
  <c r="C62" i="4"/>
  <c r="B62" i="4" s="1"/>
  <c r="I61" i="4"/>
  <c r="J61" i="4" s="1"/>
  <c r="G61" i="4"/>
  <c r="H61" i="4" s="1"/>
  <c r="E61" i="4"/>
  <c r="C61" i="4"/>
  <c r="D61" i="4" s="1"/>
  <c r="I60" i="4"/>
  <c r="J60" i="4" s="1"/>
  <c r="G60" i="4"/>
  <c r="F60" i="4" s="1"/>
  <c r="E60" i="4"/>
  <c r="C60" i="4"/>
  <c r="B60" i="4" s="1"/>
  <c r="I59" i="4"/>
  <c r="J59" i="4" s="1"/>
  <c r="G59" i="4"/>
  <c r="H59" i="4" s="1"/>
  <c r="E59" i="4"/>
  <c r="C59" i="4"/>
  <c r="D59" i="4" s="1"/>
  <c r="I58" i="4"/>
  <c r="J58" i="4" s="1"/>
  <c r="G58" i="4"/>
  <c r="F58" i="4" s="1"/>
  <c r="E58" i="4"/>
  <c r="C58" i="4"/>
  <c r="B58" i="4" s="1"/>
  <c r="I57" i="4"/>
  <c r="J57" i="4" s="1"/>
  <c r="G57" i="4"/>
  <c r="H57" i="4" s="1"/>
  <c r="E57" i="4"/>
  <c r="C57" i="4"/>
  <c r="D57" i="4" s="1"/>
  <c r="I56" i="4"/>
  <c r="J56" i="4" s="1"/>
  <c r="G56" i="4"/>
  <c r="F56" i="4" s="1"/>
  <c r="E56" i="4"/>
  <c r="C56" i="4"/>
  <c r="B56" i="4" s="1"/>
  <c r="I55" i="4"/>
  <c r="J55" i="4" s="1"/>
  <c r="G55" i="4"/>
  <c r="H55" i="4" s="1"/>
  <c r="E55" i="4"/>
  <c r="C55" i="4"/>
  <c r="D55" i="4" s="1"/>
  <c r="I54" i="4"/>
  <c r="J54" i="4" s="1"/>
  <c r="G54" i="4"/>
  <c r="F54" i="4" s="1"/>
  <c r="E54" i="4"/>
  <c r="C54" i="4"/>
  <c r="B54" i="4" s="1"/>
  <c r="I53" i="4"/>
  <c r="J53" i="4" s="1"/>
  <c r="G53" i="4"/>
  <c r="H53" i="4" s="1"/>
  <c r="E53" i="4"/>
  <c r="C53" i="4"/>
  <c r="D53" i="4" s="1"/>
  <c r="I49" i="4"/>
  <c r="J49" i="4" s="1"/>
  <c r="G49" i="4"/>
  <c r="H49" i="4" s="1"/>
  <c r="E49" i="4"/>
  <c r="C49" i="4"/>
  <c r="D49" i="4" s="1"/>
  <c r="I48" i="4"/>
  <c r="J48" i="4" s="1"/>
  <c r="G48" i="4"/>
  <c r="F48" i="4" s="1"/>
  <c r="E48" i="4"/>
  <c r="C48" i="4"/>
  <c r="B48" i="4" s="1"/>
  <c r="I47" i="4"/>
  <c r="J47" i="4" s="1"/>
  <c r="G47" i="4"/>
  <c r="H47" i="4" s="1"/>
  <c r="E47" i="4"/>
  <c r="C47" i="4"/>
  <c r="D47" i="4" s="1"/>
  <c r="I46" i="4"/>
  <c r="J46" i="4" s="1"/>
  <c r="G46" i="4"/>
  <c r="F46" i="4" s="1"/>
  <c r="E46" i="4"/>
  <c r="C46" i="4"/>
  <c r="B46" i="4" s="1"/>
  <c r="I45" i="4"/>
  <c r="J45" i="4" s="1"/>
  <c r="G45" i="4"/>
  <c r="H45" i="4" s="1"/>
  <c r="E45" i="4"/>
  <c r="C45" i="4"/>
  <c r="D45" i="4" s="1"/>
  <c r="I44" i="4"/>
  <c r="J44" i="4" s="1"/>
  <c r="G44" i="4"/>
  <c r="F44" i="4" s="1"/>
  <c r="E44" i="4"/>
  <c r="C44" i="4"/>
  <c r="B44" i="4" s="1"/>
  <c r="I43" i="4"/>
  <c r="J43" i="4" s="1"/>
  <c r="G43" i="4"/>
  <c r="H43" i="4" s="1"/>
  <c r="E43" i="4"/>
  <c r="C43" i="4"/>
  <c r="D43" i="4" s="1"/>
  <c r="I42" i="4"/>
  <c r="J42" i="4" s="1"/>
  <c r="G42" i="4"/>
  <c r="F42" i="4" s="1"/>
  <c r="E42" i="4"/>
  <c r="C42" i="4"/>
  <c r="B42" i="4" s="1"/>
  <c r="I41" i="4"/>
  <c r="J41" i="4" s="1"/>
  <c r="G41" i="4"/>
  <c r="H41" i="4" s="1"/>
  <c r="E41" i="4"/>
  <c r="C41" i="4"/>
  <c r="D41" i="4" s="1"/>
  <c r="I40" i="4"/>
  <c r="J40" i="4" s="1"/>
  <c r="G40" i="4"/>
  <c r="F40" i="4" s="1"/>
  <c r="E40" i="4"/>
  <c r="C40" i="4"/>
  <c r="B40" i="4" s="1"/>
  <c r="I39" i="4"/>
  <c r="J39" i="4" s="1"/>
  <c r="G39" i="4"/>
  <c r="H39" i="4" s="1"/>
  <c r="E39" i="4"/>
  <c r="C39" i="4"/>
  <c r="D39" i="4" s="1"/>
  <c r="I38" i="4"/>
  <c r="J38" i="4" s="1"/>
  <c r="G38" i="4"/>
  <c r="F38" i="4" s="1"/>
  <c r="E38" i="4"/>
  <c r="C38" i="4"/>
  <c r="B38" i="4" s="1"/>
  <c r="I37" i="4"/>
  <c r="J37" i="4" s="1"/>
  <c r="G37" i="4"/>
  <c r="H37" i="4" s="1"/>
  <c r="E37" i="4"/>
  <c r="C37" i="4"/>
  <c r="D37" i="4" s="1"/>
  <c r="I36" i="4"/>
  <c r="J36" i="4" s="1"/>
  <c r="G36" i="4"/>
  <c r="F36" i="4" s="1"/>
  <c r="E36" i="4"/>
  <c r="C36" i="4"/>
  <c r="B36" i="4" s="1"/>
  <c r="I35" i="4"/>
  <c r="J35" i="4" s="1"/>
  <c r="G35" i="4"/>
  <c r="H35" i="4" s="1"/>
  <c r="E35" i="4"/>
  <c r="C35" i="4"/>
  <c r="D35" i="4" s="1"/>
  <c r="I34" i="4"/>
  <c r="J34" i="4" s="1"/>
  <c r="G34" i="4"/>
  <c r="H34" i="4" s="1"/>
  <c r="E34" i="4"/>
  <c r="C34" i="4"/>
  <c r="D34" i="4" s="1"/>
  <c r="I33" i="4"/>
  <c r="J33" i="4" s="1"/>
  <c r="G33" i="4"/>
  <c r="H33" i="4" s="1"/>
  <c r="E33" i="4"/>
  <c r="C33" i="4"/>
  <c r="D33" i="4" s="1"/>
  <c r="I32" i="4"/>
  <c r="J32" i="4" s="1"/>
  <c r="G32" i="4"/>
  <c r="F32" i="4" s="1"/>
  <c r="E32" i="4"/>
  <c r="C32" i="4"/>
  <c r="B32" i="4" s="1"/>
  <c r="I31" i="4"/>
  <c r="J31" i="4" s="1"/>
  <c r="G31" i="4"/>
  <c r="H31" i="4" s="1"/>
  <c r="E31" i="4"/>
  <c r="C31" i="4"/>
  <c r="D31" i="4" s="1"/>
  <c r="I30" i="4"/>
  <c r="J30" i="4" s="1"/>
  <c r="G30" i="4"/>
  <c r="F30" i="4" s="1"/>
  <c r="E30" i="4"/>
  <c r="C30" i="4"/>
  <c r="B30" i="4" s="1"/>
  <c r="I26" i="4"/>
  <c r="J26" i="4" s="1"/>
  <c r="G26" i="4"/>
  <c r="H26" i="4" s="1"/>
  <c r="E26" i="4"/>
  <c r="C26" i="4"/>
  <c r="D26" i="4" s="1"/>
  <c r="I25" i="4"/>
  <c r="J25" i="4" s="1"/>
  <c r="G25" i="4"/>
  <c r="F25" i="4" s="1"/>
  <c r="E25" i="4"/>
  <c r="C25" i="4"/>
  <c r="B25" i="4" s="1"/>
  <c r="I24" i="4"/>
  <c r="J24" i="4" s="1"/>
  <c r="G24" i="4"/>
  <c r="H24" i="4" s="1"/>
  <c r="E24" i="4"/>
  <c r="C24" i="4"/>
  <c r="D24" i="4" s="1"/>
  <c r="I23" i="4"/>
  <c r="J23" i="4" s="1"/>
  <c r="G23" i="4"/>
  <c r="F23" i="4" s="1"/>
  <c r="E23" i="4"/>
  <c r="C23" i="4"/>
  <c r="B23" i="4" s="1"/>
  <c r="I22" i="4"/>
  <c r="J22" i="4" s="1"/>
  <c r="G22" i="4"/>
  <c r="H22" i="4" s="1"/>
  <c r="E22" i="4"/>
  <c r="C22" i="4"/>
  <c r="D22" i="4" s="1"/>
  <c r="I21" i="4"/>
  <c r="J21" i="4" s="1"/>
  <c r="G21" i="4"/>
  <c r="F21" i="4" s="1"/>
  <c r="E21" i="4"/>
  <c r="C21" i="4"/>
  <c r="B21" i="4" s="1"/>
  <c r="I20" i="4"/>
  <c r="J20" i="4" s="1"/>
  <c r="G20" i="4"/>
  <c r="H20" i="4" s="1"/>
  <c r="E20" i="4"/>
  <c r="C20" i="4"/>
  <c r="D20" i="4" s="1"/>
  <c r="I19" i="4"/>
  <c r="J19" i="4" s="1"/>
  <c r="G19" i="4"/>
  <c r="F19" i="4" s="1"/>
  <c r="E19" i="4"/>
  <c r="C19" i="4"/>
  <c r="B19" i="4" s="1"/>
  <c r="I18" i="4"/>
  <c r="J18" i="4" s="1"/>
  <c r="G18" i="4"/>
  <c r="H18" i="4" s="1"/>
  <c r="E18" i="4"/>
  <c r="C18" i="4"/>
  <c r="D18" i="4" s="1"/>
  <c r="I17" i="4"/>
  <c r="J17" i="4" s="1"/>
  <c r="G17" i="4"/>
  <c r="F17" i="4" s="1"/>
  <c r="E17" i="4"/>
  <c r="C17" i="4"/>
  <c r="B17" i="4" s="1"/>
  <c r="Q16" i="4"/>
  <c r="I16" i="4"/>
  <c r="J16" i="4" s="1"/>
  <c r="G16" i="4"/>
  <c r="H16" i="4" s="1"/>
  <c r="E16" i="4"/>
  <c r="C16" i="4"/>
  <c r="D16" i="4" s="1"/>
  <c r="I15" i="4"/>
  <c r="J15" i="4" s="1"/>
  <c r="G15" i="4"/>
  <c r="F15" i="4" s="1"/>
  <c r="E15" i="4"/>
  <c r="C15" i="4"/>
  <c r="B15" i="4" s="1"/>
  <c r="I14" i="4"/>
  <c r="J14" i="4" s="1"/>
  <c r="G14" i="4"/>
  <c r="H14" i="4" s="1"/>
  <c r="E14" i="4"/>
  <c r="C14" i="4"/>
  <c r="D14" i="4" s="1"/>
  <c r="I13" i="4"/>
  <c r="J13" i="4" s="1"/>
  <c r="G13" i="4"/>
  <c r="F13" i="4" s="1"/>
  <c r="E13" i="4"/>
  <c r="C13" i="4"/>
  <c r="B13" i="4" s="1"/>
  <c r="I12" i="4"/>
  <c r="J12" i="4" s="1"/>
  <c r="G12" i="4"/>
  <c r="H12" i="4" s="1"/>
  <c r="E12" i="4"/>
  <c r="C12" i="4"/>
  <c r="D12" i="4" s="1"/>
  <c r="I11" i="4"/>
  <c r="J11" i="4" s="1"/>
  <c r="G11" i="4"/>
  <c r="H11" i="4" s="1"/>
  <c r="E11" i="4"/>
  <c r="C11" i="4"/>
  <c r="D11" i="4" s="1"/>
  <c r="I10" i="4"/>
  <c r="J10" i="4" s="1"/>
  <c r="G10" i="4"/>
  <c r="H10" i="4" s="1"/>
  <c r="E10" i="4"/>
  <c r="C10" i="4"/>
  <c r="D10" i="4" s="1"/>
  <c r="I9" i="4"/>
  <c r="J9" i="4" s="1"/>
  <c r="G9" i="4"/>
  <c r="F9" i="4" s="1"/>
  <c r="E9" i="4"/>
  <c r="C9" i="4"/>
  <c r="B9" i="4" s="1"/>
  <c r="I8" i="4"/>
  <c r="J8" i="4" s="1"/>
  <c r="G8" i="4"/>
  <c r="H8" i="4" s="1"/>
  <c r="E8" i="4"/>
  <c r="C8" i="4"/>
  <c r="D8" i="4" s="1"/>
  <c r="I7" i="4"/>
  <c r="J7" i="4" s="1"/>
  <c r="G7" i="4"/>
  <c r="H7" i="4" s="1"/>
  <c r="E7" i="4"/>
  <c r="C7" i="4"/>
  <c r="D7" i="4" s="1"/>
  <c r="H40" i="4" l="1"/>
  <c r="F64" i="4"/>
  <c r="F173" i="4"/>
  <c r="B138" i="4"/>
  <c r="F145" i="4"/>
  <c r="D159" i="4"/>
  <c r="B84" i="4"/>
  <c r="B49" i="4"/>
  <c r="B125" i="4"/>
  <c r="F90" i="4"/>
  <c r="B126" i="4"/>
  <c r="B12" i="4"/>
  <c r="F45" i="4"/>
  <c r="B86" i="4"/>
  <c r="D122" i="4"/>
  <c r="H122" i="4"/>
  <c r="F37" i="4"/>
  <c r="F80" i="4"/>
  <c r="H129" i="4"/>
  <c r="F153" i="4"/>
  <c r="B14" i="4"/>
  <c r="F41" i="4"/>
  <c r="F47" i="4"/>
  <c r="D85" i="4"/>
  <c r="B88" i="4"/>
  <c r="F123" i="4"/>
  <c r="F35" i="4"/>
  <c r="F78" i="4"/>
  <c r="B82" i="4"/>
  <c r="F126" i="4"/>
  <c r="F151" i="4"/>
  <c r="D38" i="4"/>
  <c r="D44" i="4"/>
  <c r="D46" i="4"/>
  <c r="D77" i="4"/>
  <c r="D79" i="4"/>
  <c r="D135" i="4"/>
  <c r="H157" i="4"/>
  <c r="D161" i="4"/>
  <c r="H161" i="4"/>
  <c r="D184" i="4"/>
  <c r="B10" i="4"/>
  <c r="F33" i="4"/>
  <c r="B39" i="4"/>
  <c r="D42" i="4"/>
  <c r="D69" i="4"/>
  <c r="D93" i="4"/>
  <c r="F149" i="4"/>
  <c r="D157" i="4"/>
  <c r="H159" i="4"/>
  <c r="B183" i="4"/>
  <c r="B185" i="4"/>
  <c r="B8" i="4"/>
  <c r="B16" i="4"/>
  <c r="F31" i="4"/>
  <c r="B92" i="4"/>
  <c r="B94" i="4"/>
  <c r="F127" i="4"/>
  <c r="F147" i="4"/>
  <c r="F155" i="4"/>
  <c r="B171" i="4"/>
  <c r="B177" i="4"/>
  <c r="F8" i="4"/>
  <c r="F10" i="4"/>
  <c r="F12" i="4"/>
  <c r="F14" i="4"/>
  <c r="F16" i="4"/>
  <c r="B31" i="4"/>
  <c r="B33" i="4"/>
  <c r="B35" i="4"/>
  <c r="B37" i="4"/>
  <c r="H38" i="4"/>
  <c r="D40" i="4"/>
  <c r="B66" i="4"/>
  <c r="H77" i="4"/>
  <c r="B80" i="4"/>
  <c r="F84" i="4"/>
  <c r="H85" i="4"/>
  <c r="D87" i="4"/>
  <c r="F88" i="4"/>
  <c r="H91" i="4"/>
  <c r="F94" i="4"/>
  <c r="D124" i="4"/>
  <c r="H124" i="4"/>
  <c r="B127" i="4"/>
  <c r="B128" i="4"/>
  <c r="F134" i="4"/>
  <c r="B140" i="4"/>
  <c r="B145" i="4"/>
  <c r="B147" i="4"/>
  <c r="B149" i="4"/>
  <c r="B151" i="4"/>
  <c r="B153" i="4"/>
  <c r="B155" i="4"/>
  <c r="D163" i="4"/>
  <c r="H163" i="4"/>
  <c r="B169" i="4"/>
  <c r="F164" i="4"/>
  <c r="F175" i="4"/>
  <c r="F179" i="4"/>
  <c r="F181" i="4"/>
  <c r="H186" i="4"/>
  <c r="F39" i="4"/>
  <c r="B41" i="4"/>
  <c r="H42" i="4"/>
  <c r="H44" i="4"/>
  <c r="B47" i="4"/>
  <c r="B70" i="4"/>
  <c r="H83" i="4"/>
  <c r="F86" i="4"/>
  <c r="B90" i="4"/>
  <c r="F92" i="4"/>
  <c r="H93" i="4"/>
  <c r="D95" i="4"/>
  <c r="B123" i="4"/>
  <c r="F125" i="4"/>
  <c r="F130" i="4"/>
  <c r="B136" i="4"/>
  <c r="B173" i="4"/>
  <c r="B175" i="4"/>
  <c r="B179" i="4"/>
  <c r="B181" i="4"/>
  <c r="F185" i="4"/>
  <c r="D9" i="4"/>
  <c r="H9" i="4"/>
  <c r="D13" i="4"/>
  <c r="H13" i="4"/>
  <c r="D30" i="4"/>
  <c r="H30" i="4"/>
  <c r="H48" i="4"/>
  <c r="F71" i="4"/>
  <c r="H71" i="4"/>
  <c r="H81" i="4"/>
  <c r="D83" i="4"/>
  <c r="H89" i="4"/>
  <c r="D91" i="4"/>
  <c r="D132" i="4"/>
  <c r="B132" i="4"/>
  <c r="F133" i="4"/>
  <c r="H133" i="4"/>
  <c r="D15" i="4"/>
  <c r="H15" i="4"/>
  <c r="D32" i="4"/>
  <c r="H32" i="4"/>
  <c r="D36" i="4"/>
  <c r="H36" i="4"/>
  <c r="B7" i="4"/>
  <c r="F7" i="4"/>
  <c r="B11" i="4"/>
  <c r="F11" i="4"/>
  <c r="B34" i="4"/>
  <c r="F34" i="4"/>
  <c r="F43" i="4"/>
  <c r="B45" i="4"/>
  <c r="H46" i="4"/>
  <c r="D48" i="4"/>
  <c r="H63" i="4"/>
  <c r="H67" i="4"/>
  <c r="F72" i="4"/>
  <c r="F76" i="4"/>
  <c r="B78" i="4"/>
  <c r="H79" i="4"/>
  <c r="D81" i="4"/>
  <c r="H87" i="4"/>
  <c r="D89" i="4"/>
  <c r="H95" i="4"/>
  <c r="B43" i="4"/>
  <c r="F49" i="4"/>
  <c r="B65" i="4"/>
  <c r="D65" i="4"/>
  <c r="H68" i="4"/>
  <c r="F68" i="4"/>
  <c r="B76" i="4"/>
  <c r="F82" i="4"/>
  <c r="H141" i="4"/>
  <c r="D146" i="4"/>
  <c r="H146" i="4"/>
  <c r="D148" i="4"/>
  <c r="H148" i="4"/>
  <c r="D150" i="4"/>
  <c r="H150" i="4"/>
  <c r="D152" i="4"/>
  <c r="H152" i="4"/>
  <c r="D154" i="4"/>
  <c r="H154" i="4"/>
  <c r="D156" i="4"/>
  <c r="H156" i="4"/>
  <c r="D158" i="4"/>
  <c r="H158" i="4"/>
  <c r="D160" i="4"/>
  <c r="H160" i="4"/>
  <c r="D162" i="4"/>
  <c r="H162" i="4"/>
  <c r="D174" i="4"/>
  <c r="D180" i="4"/>
  <c r="H182" i="4"/>
  <c r="D131" i="4"/>
  <c r="B164" i="4"/>
  <c r="H172" i="4"/>
  <c r="F187" i="4"/>
  <c r="F138" i="4"/>
  <c r="F169" i="4"/>
  <c r="F171" i="4"/>
  <c r="D176" i="4"/>
  <c r="F177" i="4"/>
  <c r="F183" i="4"/>
  <c r="B187" i="4"/>
  <c r="D17" i="4"/>
  <c r="H17" i="4"/>
  <c r="B18" i="4"/>
  <c r="F18" i="4"/>
  <c r="D19" i="4"/>
  <c r="H19" i="4"/>
  <c r="B20" i="4"/>
  <c r="F20" i="4"/>
  <c r="D21" i="4"/>
  <c r="H21" i="4"/>
  <c r="B22" i="4"/>
  <c r="F22" i="4"/>
  <c r="D23" i="4"/>
  <c r="H23" i="4"/>
  <c r="B24" i="4"/>
  <c r="F24" i="4"/>
  <c r="D25" i="4"/>
  <c r="H25" i="4"/>
  <c r="B26" i="4"/>
  <c r="F26" i="4"/>
  <c r="B53" i="4"/>
  <c r="F53" i="4"/>
  <c r="D54" i="4"/>
  <c r="H54" i="4"/>
  <c r="B55" i="4"/>
  <c r="F55" i="4"/>
  <c r="D56" i="4"/>
  <c r="H56" i="4"/>
  <c r="B57" i="4"/>
  <c r="F57" i="4"/>
  <c r="D58" i="4"/>
  <c r="H58" i="4"/>
  <c r="B59" i="4"/>
  <c r="F59" i="4"/>
  <c r="D60" i="4"/>
  <c r="H60" i="4"/>
  <c r="B61" i="4"/>
  <c r="F61" i="4"/>
  <c r="D62" i="4"/>
  <c r="H62" i="4"/>
  <c r="B63" i="4"/>
  <c r="B64" i="4"/>
  <c r="H65" i="4"/>
  <c r="D67" i="4"/>
  <c r="F70" i="4"/>
  <c r="B72" i="4"/>
  <c r="H99" i="4"/>
  <c r="F99" i="4"/>
  <c r="D101" i="4"/>
  <c r="B101" i="4"/>
  <c r="H103" i="4"/>
  <c r="F103" i="4"/>
  <c r="D105" i="4"/>
  <c r="B105" i="4"/>
  <c r="H107" i="4"/>
  <c r="F107" i="4"/>
  <c r="D109" i="4"/>
  <c r="B109" i="4"/>
  <c r="H111" i="4"/>
  <c r="F111" i="4"/>
  <c r="D113" i="4"/>
  <c r="B113" i="4"/>
  <c r="H115" i="4"/>
  <c r="F115" i="4"/>
  <c r="D117" i="4"/>
  <c r="B117" i="4"/>
  <c r="D130" i="4"/>
  <c r="B130" i="4"/>
  <c r="H136" i="4"/>
  <c r="F136" i="4"/>
  <c r="H140" i="4"/>
  <c r="F140" i="4"/>
  <c r="F100" i="4"/>
  <c r="H100" i="4"/>
  <c r="B102" i="4"/>
  <c r="D102" i="4"/>
  <c r="F104" i="4"/>
  <c r="H104" i="4"/>
  <c r="B106" i="4"/>
  <c r="D106" i="4"/>
  <c r="F108" i="4"/>
  <c r="H108" i="4"/>
  <c r="B110" i="4"/>
  <c r="D110" i="4"/>
  <c r="F112" i="4"/>
  <c r="H112" i="4"/>
  <c r="B114" i="4"/>
  <c r="D114" i="4"/>
  <c r="F116" i="4"/>
  <c r="H116" i="4"/>
  <c r="B118" i="4"/>
  <c r="D118" i="4"/>
  <c r="F131" i="4"/>
  <c r="H131" i="4"/>
  <c r="D134" i="4"/>
  <c r="B134" i="4"/>
  <c r="F66" i="4"/>
  <c r="B68" i="4"/>
  <c r="H69" i="4"/>
  <c r="D71" i="4"/>
  <c r="D99" i="4"/>
  <c r="B99" i="4"/>
  <c r="H101" i="4"/>
  <c r="F101" i="4"/>
  <c r="D103" i="4"/>
  <c r="B103" i="4"/>
  <c r="H105" i="4"/>
  <c r="F105" i="4"/>
  <c r="D107" i="4"/>
  <c r="B107" i="4"/>
  <c r="H109" i="4"/>
  <c r="F109" i="4"/>
  <c r="D111" i="4"/>
  <c r="B111" i="4"/>
  <c r="H113" i="4"/>
  <c r="F113" i="4"/>
  <c r="D115" i="4"/>
  <c r="B115" i="4"/>
  <c r="H117" i="4"/>
  <c r="F117" i="4"/>
  <c r="H128" i="4"/>
  <c r="F128" i="4"/>
  <c r="B129" i="4"/>
  <c r="D129" i="4"/>
  <c r="F135" i="4"/>
  <c r="H135" i="4"/>
  <c r="F139" i="4"/>
  <c r="H139" i="4"/>
  <c r="B100" i="4"/>
  <c r="D100" i="4"/>
  <c r="F102" i="4"/>
  <c r="H102" i="4"/>
  <c r="B104" i="4"/>
  <c r="D104" i="4"/>
  <c r="F106" i="4"/>
  <c r="H106" i="4"/>
  <c r="B108" i="4"/>
  <c r="D108" i="4"/>
  <c r="F110" i="4"/>
  <c r="H110" i="4"/>
  <c r="B112" i="4"/>
  <c r="D112" i="4"/>
  <c r="F114" i="4"/>
  <c r="H114" i="4"/>
  <c r="B116" i="4"/>
  <c r="D116" i="4"/>
  <c r="F118" i="4"/>
  <c r="H118" i="4"/>
  <c r="H132" i="4"/>
  <c r="F132" i="4"/>
  <c r="B133" i="4"/>
  <c r="D133" i="4"/>
  <c r="B141" i="4"/>
  <c r="D141" i="4"/>
  <c r="H170" i="4"/>
  <c r="D172" i="4"/>
  <c r="H178" i="4"/>
  <c r="H137" i="4"/>
  <c r="D139" i="4"/>
  <c r="H168" i="4"/>
  <c r="D170" i="4"/>
  <c r="H176" i="4"/>
  <c r="D178" i="4"/>
  <c r="H184" i="4"/>
  <c r="D186" i="4"/>
  <c r="D137" i="4"/>
  <c r="D168" i="4"/>
  <c r="H174" i="4"/>
  <c r="H180" i="4"/>
  <c r="D182" i="4"/>
  <c r="C47" i="2" l="1"/>
  <c r="C41" i="2"/>
  <c r="C35" i="2"/>
  <c r="C29" i="2"/>
  <c r="C23" i="2"/>
  <c r="C17" i="2"/>
  <c r="C11" i="2"/>
  <c r="C5" i="2"/>
  <c r="C33" i="2" l="1"/>
  <c r="C27" i="2"/>
  <c r="C21" i="2"/>
  <c r="C15" i="2"/>
  <c r="C9" i="2"/>
  <c r="C45" i="2"/>
  <c r="C39" i="2"/>
  <c r="C3" i="2"/>
  <c r="D1" i="2"/>
  <c r="K169" i="4" l="1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68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45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22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99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76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53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30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7" i="4"/>
  <c r="K91" i="1" l="1"/>
  <c r="A91" i="1"/>
  <c r="K64" i="1"/>
  <c r="A64" i="1"/>
  <c r="K37" i="1"/>
  <c r="A37" i="1"/>
  <c r="K10" i="1"/>
  <c r="A10" i="1"/>
  <c r="G35" i="1" l="1"/>
  <c r="Q35" i="1"/>
  <c r="G62" i="1"/>
  <c r="Q62" i="1"/>
  <c r="G89" i="1"/>
  <c r="Q89" i="1"/>
  <c r="G116" i="1"/>
  <c r="Q116" i="1"/>
  <c r="S116" i="1"/>
  <c r="E49" i="2" s="1"/>
  <c r="I116" i="1"/>
  <c r="S89" i="1"/>
  <c r="I89" i="1"/>
  <c r="S62" i="1"/>
  <c r="B188" i="4" l="1"/>
  <c r="E43" i="2"/>
  <c r="B165" i="4"/>
  <c r="E37" i="2"/>
  <c r="B142" i="4"/>
  <c r="E31" i="2"/>
  <c r="B119" i="4"/>
  <c r="E25" i="2"/>
  <c r="B96" i="4"/>
  <c r="D62" i="1"/>
  <c r="C19" i="2"/>
  <c r="N62" i="1"/>
  <c r="C25" i="2"/>
  <c r="N35" i="1"/>
  <c r="C13" i="2"/>
  <c r="N116" i="1"/>
  <c r="C49" i="2"/>
  <c r="G45" i="2" s="1"/>
  <c r="D116" i="1"/>
  <c r="C43" i="2"/>
  <c r="G39" i="2" s="1"/>
  <c r="N89" i="1"/>
  <c r="C37" i="2"/>
  <c r="D89" i="1"/>
  <c r="C31" i="2"/>
  <c r="G27" i="2" s="1"/>
  <c r="D35" i="1"/>
  <c r="C7" i="2"/>
  <c r="I62" i="1"/>
  <c r="I35" i="1"/>
  <c r="B27" i="4" s="1"/>
  <c r="E7" i="1"/>
  <c r="S35" i="1"/>
  <c r="B50" i="4" s="1"/>
  <c r="G21" i="2" l="1"/>
  <c r="G33" i="2"/>
  <c r="E19" i="2"/>
  <c r="G15" i="2" s="1"/>
  <c r="B73" i="4"/>
  <c r="E13" i="2"/>
  <c r="G9" i="2" s="1"/>
  <c r="E7" i="2"/>
  <c r="G3" i="2" s="1"/>
  <c r="C7" i="1"/>
  <c r="H7" i="1"/>
  <c r="E5" i="4" l="1"/>
  <c r="E3" i="2"/>
  <c r="D45" i="2"/>
  <c r="D21" i="2"/>
  <c r="D3" i="2"/>
  <c r="D39" i="2"/>
  <c r="D15" i="2"/>
  <c r="D33" i="2"/>
  <c r="D9" i="2"/>
  <c r="D27" i="2"/>
  <c r="E39" i="2"/>
  <c r="E15" i="2"/>
  <c r="E21" i="2"/>
  <c r="E33" i="2"/>
  <c r="E9" i="2"/>
  <c r="E27" i="2"/>
  <c r="E45" i="2"/>
</calcChain>
</file>

<file path=xl/comments1.xml><?xml version="1.0" encoding="utf-8"?>
<comments xmlns="http://schemas.openxmlformats.org/spreadsheetml/2006/main">
  <authors>
    <author>宏建石材</author>
    <author>Administrator</author>
  </authors>
  <commentList>
    <comment ref="E5" authorId="0" shapeId="0">
      <text>
        <r>
          <rPr>
            <b/>
            <sz val="11"/>
            <color indexed="81"/>
            <rFont val="宋体"/>
            <family val="3"/>
            <charset val="134"/>
          </rPr>
          <t>编号输入</t>
        </r>
      </text>
    </comment>
    <comment ref="Q6" authorId="1" shapeId="0">
      <text>
        <r>
          <rPr>
            <b/>
            <sz val="11"/>
            <color indexed="81"/>
            <rFont val="宋体"/>
            <family val="3"/>
            <charset val="134"/>
          </rPr>
          <t>厚度下拉选择</t>
        </r>
      </text>
    </comment>
  </commentList>
</comments>
</file>

<file path=xl/sharedStrings.xml><?xml version="1.0" encoding="utf-8"?>
<sst xmlns="http://schemas.openxmlformats.org/spreadsheetml/2006/main" count="183" uniqueCount="63">
  <si>
    <t>高</t>
    <phoneticPr fontId="3" type="noConversion"/>
  </si>
  <si>
    <t>规格(cm)</t>
    <phoneticPr fontId="3" type="noConversion"/>
  </si>
  <si>
    <t>扣尺(cm)</t>
    <phoneticPr fontId="3" type="noConversion"/>
  </si>
  <si>
    <r>
      <t>1</t>
    </r>
    <r>
      <rPr>
        <i/>
        <sz val="10"/>
        <rFont val="宋体"/>
        <family val="3"/>
        <charset val="134"/>
      </rPr>
      <t>长</t>
    </r>
    <phoneticPr fontId="3" type="noConversion"/>
  </si>
  <si>
    <r>
      <t>1</t>
    </r>
    <r>
      <rPr>
        <i/>
        <sz val="10"/>
        <rFont val="宋体"/>
        <family val="3"/>
        <charset val="134"/>
      </rPr>
      <t>高</t>
    </r>
    <phoneticPr fontId="3" type="noConversion"/>
  </si>
  <si>
    <r>
      <t>2</t>
    </r>
    <r>
      <rPr>
        <i/>
        <sz val="10"/>
        <rFont val="宋体"/>
        <family val="3"/>
        <charset val="134"/>
      </rPr>
      <t>长</t>
    </r>
    <phoneticPr fontId="3" type="noConversion"/>
  </si>
  <si>
    <r>
      <t>2</t>
    </r>
    <r>
      <rPr>
        <i/>
        <sz val="10"/>
        <rFont val="宋体"/>
        <family val="3"/>
        <charset val="134"/>
      </rPr>
      <t>高</t>
    </r>
    <phoneticPr fontId="3" type="noConversion"/>
  </si>
  <si>
    <t>件</t>
    <phoneticPr fontId="3" type="noConversion"/>
  </si>
  <si>
    <t>序</t>
    <phoneticPr fontId="3" type="noConversion"/>
  </si>
  <si>
    <r>
      <t>面积（m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）</t>
    </r>
    <phoneticPr fontId="3" type="noConversion"/>
  </si>
  <si>
    <t>夹</t>
    <phoneticPr fontId="3" type="noConversion"/>
  </si>
  <si>
    <t>本夹小计</t>
    <phoneticPr fontId="3" type="noConversion"/>
  </si>
  <si>
    <t>规格(cm)</t>
    <phoneticPr fontId="3" type="noConversion"/>
  </si>
  <si>
    <t>本单合计:</t>
    <phoneticPr fontId="3" type="noConversion"/>
  </si>
  <si>
    <r>
      <t>m</t>
    </r>
    <r>
      <rPr>
        <i/>
        <vertAlign val="superscript"/>
        <sz val="12"/>
        <rFont val="宋体"/>
        <family val="3"/>
        <charset val="134"/>
      </rPr>
      <t>2</t>
    </r>
    <phoneticPr fontId="3" type="noConversion"/>
  </si>
  <si>
    <t>件</t>
    <phoneticPr fontId="3" type="noConversion"/>
  </si>
  <si>
    <r>
      <t>地址：云浮市河口田心石材市场牌坊入内 50米（海岸石材侧）  电话：</t>
    </r>
    <r>
      <rPr>
        <i/>
        <sz val="10"/>
        <color indexed="39"/>
        <rFont val="黑体"/>
        <family val="3"/>
        <charset val="134"/>
      </rPr>
      <t>0766-8237878</t>
    </r>
    <r>
      <rPr>
        <i/>
        <sz val="10"/>
        <color indexed="32"/>
        <rFont val="黑体"/>
        <family val="3"/>
        <charset val="134"/>
      </rPr>
      <t xml:space="preserve">  装货电话：</t>
    </r>
    <r>
      <rPr>
        <i/>
        <sz val="10"/>
        <color rgb="FF0000FF"/>
        <rFont val="黑体"/>
        <family val="3"/>
        <charset val="134"/>
      </rPr>
      <t>13824680825</t>
    </r>
    <r>
      <rPr>
        <i/>
        <sz val="10"/>
        <color indexed="32"/>
        <rFont val="黑体"/>
        <family val="3"/>
        <charset val="134"/>
      </rPr>
      <t xml:space="preserve"> </t>
    </r>
    <r>
      <rPr>
        <i/>
        <sz val="10"/>
        <color rgb="FF0000FF"/>
        <rFont val="黑体"/>
        <family val="3"/>
        <charset val="134"/>
      </rPr>
      <t>13826888235</t>
    </r>
    <r>
      <rPr>
        <sz val="10"/>
        <rFont val="宋体"/>
        <family val="3"/>
        <charset val="134"/>
      </rPr>
      <t/>
    </r>
    <phoneticPr fontId="3" type="noConversion"/>
  </si>
  <si>
    <t>编号：</t>
    <phoneticPr fontId="3" type="noConversion"/>
  </si>
  <si>
    <t>规格：</t>
    <phoneticPr fontId="3" type="noConversion"/>
  </si>
  <si>
    <t>本扎：</t>
  </si>
  <si>
    <t>本扎：</t>
    <phoneticPr fontId="3" type="noConversion"/>
  </si>
  <si>
    <r>
      <t>M</t>
    </r>
    <r>
      <rPr>
        <vertAlign val="superscript"/>
        <sz val="16"/>
        <rFont val="微软雅黑 Light"/>
        <family val="2"/>
        <charset val="134"/>
      </rPr>
      <t>2</t>
    </r>
    <phoneticPr fontId="3" type="noConversion"/>
  </si>
  <si>
    <r>
      <t>M</t>
    </r>
    <r>
      <rPr>
        <vertAlign val="superscript"/>
        <sz val="16"/>
        <rFont val="微软雅黑 Light"/>
        <family val="2"/>
        <charset val="134"/>
      </rPr>
      <t>2</t>
    </r>
    <phoneticPr fontId="3" type="noConversion"/>
  </si>
  <si>
    <r>
      <t>M</t>
    </r>
    <r>
      <rPr>
        <vertAlign val="superscript"/>
        <sz val="16"/>
        <rFont val="微软雅黑 Light"/>
        <family val="2"/>
        <charset val="134"/>
      </rPr>
      <t>2</t>
    </r>
    <phoneticPr fontId="3" type="noConversion"/>
  </si>
  <si>
    <r>
      <t>M</t>
    </r>
    <r>
      <rPr>
        <vertAlign val="superscript"/>
        <sz val="16"/>
        <rFont val="微软雅黑 Light"/>
        <family val="2"/>
        <charset val="134"/>
      </rPr>
      <t>2</t>
    </r>
    <phoneticPr fontId="3" type="noConversion"/>
  </si>
  <si>
    <r>
      <t>M</t>
    </r>
    <r>
      <rPr>
        <vertAlign val="superscript"/>
        <sz val="16"/>
        <rFont val="微软雅黑 Light"/>
        <family val="2"/>
        <charset val="134"/>
      </rPr>
      <t>2</t>
    </r>
    <phoneticPr fontId="3" type="noConversion"/>
  </si>
  <si>
    <r>
      <t>M</t>
    </r>
    <r>
      <rPr>
        <vertAlign val="superscript"/>
        <sz val="16"/>
        <rFont val="微软雅黑 Light"/>
        <family val="2"/>
        <charset val="134"/>
      </rPr>
      <t>2</t>
    </r>
    <phoneticPr fontId="3" type="noConversion"/>
  </si>
  <si>
    <r>
      <t>M</t>
    </r>
    <r>
      <rPr>
        <vertAlign val="superscript"/>
        <sz val="16"/>
        <rFont val="微软雅黑 Light"/>
        <family val="2"/>
        <charset val="134"/>
      </rPr>
      <t>2</t>
    </r>
    <phoneticPr fontId="3" type="noConversion"/>
  </si>
  <si>
    <t>编号：</t>
    <phoneticPr fontId="3" type="noConversion"/>
  </si>
  <si>
    <t>品名：</t>
    <phoneticPr fontId="3" type="noConversion"/>
  </si>
  <si>
    <t>厚度规格</t>
    <phoneticPr fontId="3" type="noConversion"/>
  </si>
  <si>
    <t>1.8cm</t>
    <phoneticPr fontId="3" type="noConversion"/>
  </si>
  <si>
    <t>2.0cm</t>
    <phoneticPr fontId="3" type="noConversion"/>
  </si>
  <si>
    <t>3.0cm</t>
    <phoneticPr fontId="3" type="noConversion"/>
  </si>
  <si>
    <t>3.5cm</t>
    <phoneticPr fontId="3" type="noConversion"/>
  </si>
  <si>
    <t>4.0cm</t>
    <phoneticPr fontId="3" type="noConversion"/>
  </si>
  <si>
    <t>5.0cm</t>
    <phoneticPr fontId="3" type="noConversion"/>
  </si>
  <si>
    <t>8.0cm</t>
    <phoneticPr fontId="3" type="noConversion"/>
  </si>
  <si>
    <t>1.5cm</t>
    <phoneticPr fontId="3" type="noConversion"/>
  </si>
  <si>
    <t>--- 主营:  浅啡网    荒料   板材 ---</t>
    <phoneticPr fontId="3" type="noConversion"/>
  </si>
  <si>
    <t>浅啡网</t>
    <phoneticPr fontId="3" type="noConversion"/>
  </si>
  <si>
    <t>厚度规格：</t>
    <phoneticPr fontId="3" type="noConversion"/>
  </si>
  <si>
    <t>厚度：</t>
    <phoneticPr fontId="3" type="noConversion"/>
  </si>
  <si>
    <r>
      <t>p</t>
    </r>
    <r>
      <rPr>
        <sz val="12"/>
        <rFont val="宋体"/>
        <family val="3"/>
        <charset val="134"/>
      </rPr>
      <t>ic_no</t>
    </r>
    <phoneticPr fontId="3" type="noConversion"/>
  </si>
  <si>
    <r>
      <t>l</t>
    </r>
    <r>
      <rPr>
        <sz val="12"/>
        <rFont val="宋体"/>
        <family val="3"/>
        <charset val="134"/>
      </rPr>
      <t>ong</t>
    </r>
    <phoneticPr fontId="3" type="noConversion"/>
  </si>
  <si>
    <r>
      <t>h</t>
    </r>
    <r>
      <rPr>
        <sz val="12"/>
        <rFont val="宋体"/>
        <family val="3"/>
        <charset val="134"/>
      </rPr>
      <t>ight</t>
    </r>
    <phoneticPr fontId="3" type="noConversion"/>
  </si>
  <si>
    <r>
      <t>k</t>
    </r>
    <r>
      <rPr>
        <sz val="12"/>
        <rFont val="宋体"/>
        <family val="3"/>
        <charset val="134"/>
      </rPr>
      <t>l1</t>
    </r>
    <phoneticPr fontId="3" type="noConversion"/>
  </si>
  <si>
    <t>kh1</t>
    <phoneticPr fontId="3" type="noConversion"/>
  </si>
  <si>
    <t>kl2</t>
    <phoneticPr fontId="3" type="noConversion"/>
  </si>
  <si>
    <t>kh2</t>
    <phoneticPr fontId="3" type="noConversion"/>
  </si>
  <si>
    <t>m2</t>
    <phoneticPr fontId="3" type="noConversion"/>
  </si>
  <si>
    <t>part_no</t>
    <phoneticPr fontId="3" type="noConversion"/>
  </si>
  <si>
    <t>长</t>
    <phoneticPr fontId="3" type="noConversion"/>
  </si>
  <si>
    <t>长</t>
    <phoneticPr fontId="3" type="noConversion"/>
  </si>
  <si>
    <t>高</t>
    <phoneticPr fontId="3" type="noConversion"/>
  </si>
  <si>
    <t>件数</t>
    <phoneticPr fontId="3" type="noConversion"/>
  </si>
  <si>
    <r>
      <t>1</t>
    </r>
    <r>
      <rPr>
        <i/>
        <sz val="10"/>
        <rFont val="宋体"/>
        <family val="3"/>
        <charset val="134"/>
      </rPr>
      <t>长</t>
    </r>
    <phoneticPr fontId="3" type="noConversion"/>
  </si>
  <si>
    <r>
      <t>1</t>
    </r>
    <r>
      <rPr>
        <i/>
        <sz val="10"/>
        <rFont val="宋体"/>
        <family val="3"/>
        <charset val="134"/>
      </rPr>
      <t>高</t>
    </r>
    <phoneticPr fontId="3" type="noConversion"/>
  </si>
  <si>
    <r>
      <t>2</t>
    </r>
    <r>
      <rPr>
        <i/>
        <sz val="10"/>
        <rFont val="宋体"/>
        <family val="3"/>
        <charset val="134"/>
      </rPr>
      <t>长</t>
    </r>
    <phoneticPr fontId="3" type="noConversion"/>
  </si>
  <si>
    <r>
      <t>2</t>
    </r>
    <r>
      <rPr>
        <i/>
        <sz val="10"/>
        <rFont val="宋体"/>
        <family val="3"/>
        <charset val="134"/>
      </rPr>
      <t>高</t>
    </r>
    <phoneticPr fontId="3" type="noConversion"/>
  </si>
  <si>
    <t>件数</t>
    <phoneticPr fontId="3" type="noConversion"/>
  </si>
  <si>
    <t>1.6cm</t>
    <phoneticPr fontId="3" type="noConversion"/>
  </si>
  <si>
    <t>1.5cm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</si>
</sst>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* #,##0_);_(* \(#,##0\);_(* &quot;-&quot;_);_(@_)"/>
    <numFmt numFmtId="177" formatCode="_(&quot;$&quot;* #,##0.00_);_(&quot;$&quot;* \(#,##0.00\);_(&quot;$&quot;* &quot;-&quot;??_);_(@_)"/>
    <numFmt numFmtId="178" formatCode="0.00_ "/>
    <numFmt numFmtId="179" formatCode="#.00\ &quot;㎡&quot;"/>
    <numFmt numFmtId="180" formatCode="#\ &quot;元/&quot;&quot;㎡&quot;"/>
    <numFmt numFmtId="181" formatCode="0.0"/>
  </numFmts>
  <fonts count="49">
    <font>
      <sz val="12"/>
      <name val="宋体"/>
      <charset val="134"/>
    </font>
    <font>
      <sz val="12"/>
      <name val="宋体"/>
      <family val="3"/>
      <charset val="134"/>
    </font>
    <font>
      <i/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i/>
      <sz val="10"/>
      <name val="宋体"/>
      <family val="3"/>
      <charset val="134"/>
    </font>
    <font>
      <i/>
      <vertAlign val="subscript"/>
      <sz val="10"/>
      <name val="宋体"/>
      <family val="3"/>
      <charset val="134"/>
    </font>
    <font>
      <sz val="10"/>
      <color indexed="32"/>
      <name val="黑体"/>
      <family val="3"/>
      <charset val="134"/>
    </font>
    <font>
      <sz val="12"/>
      <name val="Georgia"/>
      <family val="1"/>
    </font>
    <font>
      <sz val="11"/>
      <name val="宋体"/>
      <family val="3"/>
      <charset val="134"/>
    </font>
    <font>
      <i/>
      <sz val="11"/>
      <name val="微软雅黑"/>
      <family val="2"/>
      <charset val="134"/>
    </font>
    <font>
      <i/>
      <sz val="18"/>
      <name val="微软雅黑"/>
      <family val="2"/>
      <charset val="134"/>
    </font>
    <font>
      <i/>
      <sz val="18"/>
      <color theme="1"/>
      <name val="微软雅黑"/>
      <family val="2"/>
      <charset val="134"/>
    </font>
    <font>
      <i/>
      <sz val="11"/>
      <color theme="1"/>
      <name val="宋体"/>
      <family val="3"/>
      <charset val="134"/>
    </font>
    <font>
      <sz val="9"/>
      <color theme="1"/>
      <name val="Georgia"/>
      <family val="1"/>
    </font>
    <font>
      <i/>
      <sz val="8"/>
      <name val="微软雅黑"/>
      <family val="2"/>
      <charset val="134"/>
    </font>
    <font>
      <sz val="11"/>
      <name val="微软雅黑"/>
      <family val="2"/>
      <charset val="134"/>
    </font>
    <font>
      <i/>
      <sz val="11"/>
      <name val="宋体"/>
      <family val="3"/>
      <charset val="134"/>
    </font>
    <font>
      <b/>
      <i/>
      <sz val="16"/>
      <name val="宋体"/>
      <family val="3"/>
      <charset val="134"/>
    </font>
    <font>
      <sz val="12"/>
      <name val="黑体"/>
      <family val="3"/>
      <charset val="134"/>
    </font>
    <font>
      <i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i/>
      <sz val="12"/>
      <name val="宋体"/>
      <family val="3"/>
      <charset val="134"/>
    </font>
    <font>
      <i/>
      <vertAlign val="superscript"/>
      <sz val="12"/>
      <name val="宋体"/>
      <family val="3"/>
      <charset val="134"/>
    </font>
    <font>
      <i/>
      <sz val="12"/>
      <name val="微软雅黑"/>
      <family val="2"/>
      <charset val="134"/>
    </font>
    <font>
      <sz val="12"/>
      <name val="微软雅黑"/>
      <family val="2"/>
      <charset val="134"/>
    </font>
    <font>
      <sz val="12"/>
      <name val="宋体"/>
      <family val="3"/>
      <charset val="134"/>
    </font>
    <font>
      <i/>
      <sz val="10"/>
      <color indexed="32"/>
      <name val="黑体"/>
      <family val="3"/>
      <charset val="134"/>
    </font>
    <font>
      <i/>
      <sz val="10"/>
      <color indexed="39"/>
      <name val="黑体"/>
      <family val="3"/>
      <charset val="134"/>
    </font>
    <font>
      <i/>
      <sz val="10"/>
      <color rgb="FF0000FF"/>
      <name val="黑体"/>
      <family val="3"/>
      <charset val="134"/>
    </font>
    <font>
      <sz val="11"/>
      <color theme="0" tint="-0.14999847407452621"/>
      <name val="微软雅黑"/>
      <family val="2"/>
      <charset val="134"/>
    </font>
    <font>
      <sz val="12"/>
      <color theme="0" tint="-0.14999847407452621"/>
      <name val="宋体"/>
      <family val="3"/>
      <charset val="134"/>
    </font>
    <font>
      <sz val="16"/>
      <name val="微软雅黑"/>
      <family val="2"/>
      <charset val="134"/>
    </font>
    <font>
      <b/>
      <sz val="26"/>
      <name val="微软雅黑"/>
      <family val="2"/>
      <charset val="134"/>
    </font>
    <font>
      <sz val="14"/>
      <name val="微软雅黑"/>
      <family val="2"/>
      <charset val="134"/>
    </font>
    <font>
      <vertAlign val="superscript"/>
      <sz val="10"/>
      <name val="宋体"/>
      <family val="3"/>
      <charset val="134"/>
    </font>
    <font>
      <sz val="16"/>
      <name val="微软雅黑 Light"/>
      <family val="2"/>
      <charset val="134"/>
    </font>
    <font>
      <vertAlign val="superscript"/>
      <sz val="16"/>
      <name val="微软雅黑 Light"/>
      <family val="2"/>
      <charset val="134"/>
    </font>
    <font>
      <sz val="16"/>
      <name val="宋体"/>
      <family val="3"/>
      <charset val="134"/>
    </font>
    <font>
      <sz val="18"/>
      <name val="微软雅黑"/>
      <family val="2"/>
      <charset val="134"/>
    </font>
    <font>
      <i/>
      <sz val="9"/>
      <name val="宋体"/>
      <family val="3"/>
      <charset val="134"/>
    </font>
    <font>
      <i/>
      <sz val="9"/>
      <name val="微软雅黑"/>
      <family val="2"/>
      <charset val="134"/>
    </font>
    <font>
      <b/>
      <sz val="14"/>
      <name val="微软雅黑"/>
      <family val="2"/>
      <charset val="134"/>
    </font>
    <font>
      <b/>
      <sz val="18"/>
      <name val="微软雅黑"/>
      <family val="2"/>
      <charset val="134"/>
    </font>
    <font>
      <b/>
      <sz val="12"/>
      <name val="宋体"/>
      <family val="3"/>
      <charset val="134"/>
    </font>
    <font>
      <b/>
      <sz val="11"/>
      <color indexed="81"/>
      <name val="宋体"/>
      <family val="3"/>
      <charset val="134"/>
    </font>
    <font>
      <b/>
      <sz val="16"/>
      <name val="微软雅黑"/>
      <family val="2"/>
      <charset val="134"/>
    </font>
    <font>
      <sz val="12"/>
      <color rgb="FF00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gray0625">
        <fgColor theme="0" tint="-0.24994659260841701"/>
        <bgColor indexed="65"/>
      </patternFill>
    </fill>
    <fill>
      <patternFill patternType="solid">
        <fgColor theme="0" tint="-0.14996795556505021"/>
        <bgColor auto="1"/>
      </patternFill>
    </fill>
    <fill>
      <patternFill patternType="gray0625">
        <fgColor theme="0" tint="-0.14996795556505021"/>
        <bgColor indexed="65"/>
      </patternFill>
    </fill>
    <fill>
      <patternFill patternType="solid">
        <fgColor rgb="FFFFFF00"/>
        <bgColor indexed="64"/>
      </patternFill>
    </fill>
    <fill>
      <patternFill patternType="lightDown"/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/>
      <bottom style="medium">
        <color indexed="10"/>
      </bottom>
      <diagonal/>
    </border>
    <border>
      <left/>
      <right/>
      <top style="thin">
        <color indexed="64"/>
      </top>
      <bottom style="mediumDashed">
        <color indexed="53"/>
      </bottom>
      <diagonal/>
    </border>
    <border>
      <left/>
      <right/>
      <top style="thin">
        <color indexed="64"/>
      </top>
      <bottom style="mediumDashDotDot">
        <color indexed="52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tted">
        <color indexed="22"/>
      </right>
      <top style="hair">
        <color indexed="64"/>
      </top>
      <bottom style="hair">
        <color indexed="64"/>
      </bottom>
      <diagonal/>
    </border>
    <border>
      <left style="dotted">
        <color indexed="22"/>
      </left>
      <right style="dotted">
        <color indexed="22"/>
      </right>
      <top style="hair">
        <color indexed="64"/>
      </top>
      <bottom style="hair">
        <color indexed="64"/>
      </bottom>
      <diagonal/>
    </border>
    <border>
      <left style="dotted">
        <color indexed="22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tted">
        <color indexed="22"/>
      </right>
      <top style="hair">
        <color indexed="64"/>
      </top>
      <bottom/>
      <diagonal/>
    </border>
    <border>
      <left style="dotted">
        <color indexed="22"/>
      </left>
      <right style="dotted">
        <color indexed="22"/>
      </right>
      <top style="hair">
        <color indexed="64"/>
      </top>
      <bottom/>
      <diagonal/>
    </border>
    <border>
      <left style="dotted">
        <color indexed="22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23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23"/>
      </top>
      <bottom style="hair">
        <color indexed="64"/>
      </bottom>
      <diagonal/>
    </border>
    <border>
      <left style="hair">
        <color indexed="64"/>
      </left>
      <right/>
      <top style="thin">
        <color indexed="23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dashDotDot">
        <color indexed="64"/>
      </bottom>
      <diagonal/>
    </border>
    <border>
      <left/>
      <right style="dashDotDot">
        <color indexed="64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3">
    <xf numFmtId="0" fontId="0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Border="1" applyProtection="1">
      <alignment vertical="center"/>
      <protection locked="0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1" xfId="0" applyFill="1" applyBorder="1" applyAlignment="1">
      <alignment horizontal="left" vertical="center"/>
    </xf>
    <xf numFmtId="0" fontId="8" fillId="2" borderId="1" xfId="0" applyNumberFormat="1" applyFont="1" applyFill="1" applyBorder="1">
      <alignment vertical="center"/>
    </xf>
    <xf numFmtId="179" fontId="8" fillId="2" borderId="9" xfId="0" applyNumberFormat="1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right" vertical="center"/>
    </xf>
    <xf numFmtId="0" fontId="6" fillId="0" borderId="14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15" fillId="0" borderId="7" xfId="0" applyFont="1" applyBorder="1" applyAlignment="1">
      <alignment horizontal="center" vertical="center"/>
    </xf>
    <xf numFmtId="0" fontId="16" fillId="0" borderId="10" xfId="0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6" fillId="2" borderId="1" xfId="0" applyFont="1" applyFill="1" applyBorder="1" applyAlignment="1">
      <alignment horizontal="left" vertical="center"/>
    </xf>
    <xf numFmtId="0" fontId="16" fillId="0" borderId="0" xfId="0" applyFont="1" applyBorder="1">
      <alignment vertical="center"/>
    </xf>
    <xf numFmtId="0" fontId="11" fillId="0" borderId="0" xfId="0" applyFont="1" applyBorder="1" applyAlignment="1">
      <alignment vertical="center"/>
    </xf>
    <xf numFmtId="49" fontId="10" fillId="0" borderId="0" xfId="0" applyNumberFormat="1" applyFont="1" applyBorder="1" applyAlignment="1"/>
    <xf numFmtId="0" fontId="0" fillId="0" borderId="27" xfId="0" applyBorder="1">
      <alignment vertical="center"/>
    </xf>
    <xf numFmtId="0" fontId="22" fillId="0" borderId="3" xfId="0" applyFont="1" applyBorder="1" applyAlignment="1">
      <alignment horizontal="center" vertical="center"/>
    </xf>
    <xf numFmtId="0" fontId="22" fillId="0" borderId="0" xfId="0" applyFont="1" applyBorder="1" applyAlignment="1">
      <alignment vertical="center"/>
    </xf>
    <xf numFmtId="0" fontId="22" fillId="0" borderId="0" xfId="0" applyFont="1">
      <alignment vertical="center"/>
    </xf>
    <xf numFmtId="0" fontId="0" fillId="3" borderId="26" xfId="0" applyFill="1" applyBorder="1">
      <alignment vertical="center"/>
    </xf>
    <xf numFmtId="0" fontId="0" fillId="3" borderId="23" xfId="0" applyFill="1" applyBorder="1">
      <alignment vertical="center"/>
    </xf>
    <xf numFmtId="0" fontId="0" fillId="3" borderId="0" xfId="0" applyFill="1" applyBorder="1">
      <alignment vertical="center"/>
    </xf>
    <xf numFmtId="0" fontId="7" fillId="3" borderId="20" xfId="0" applyFont="1" applyFill="1" applyBorder="1" applyAlignment="1" applyProtection="1">
      <alignment horizontal="right" vertical="center"/>
    </xf>
    <xf numFmtId="0" fontId="12" fillId="3" borderId="0" xfId="0" applyFont="1" applyFill="1" applyBorder="1" applyAlignment="1" applyProtection="1">
      <alignment horizontal="left" vertical="center"/>
    </xf>
    <xf numFmtId="0" fontId="12" fillId="3" borderId="0" xfId="0" applyFont="1" applyFill="1" applyBorder="1" applyAlignment="1">
      <alignment horizontal="left" vertical="center"/>
    </xf>
    <xf numFmtId="0" fontId="7" fillId="3" borderId="0" xfId="0" applyFont="1" applyFill="1" applyBorder="1" applyAlignment="1" applyProtection="1">
      <alignment vertical="center"/>
    </xf>
    <xf numFmtId="49" fontId="14" fillId="3" borderId="16" xfId="1" applyNumberFormat="1" applyFont="1" applyFill="1" applyBorder="1" applyAlignment="1" applyProtection="1">
      <alignment vertical="center"/>
    </xf>
    <xf numFmtId="0" fontId="13" fillId="3" borderId="0" xfId="0" applyFont="1" applyFill="1" applyBorder="1" applyAlignment="1" applyProtection="1">
      <alignment horizontal="left" vertical="center"/>
    </xf>
    <xf numFmtId="49" fontId="14" fillId="3" borderId="8" xfId="1" applyNumberFormat="1" applyFont="1" applyFill="1" applyBorder="1" applyAlignment="1" applyProtection="1">
      <alignment vertical="center"/>
    </xf>
    <xf numFmtId="49" fontId="20" fillId="3" borderId="8" xfId="1" applyNumberFormat="1" applyFont="1" applyFill="1" applyBorder="1" applyAlignment="1" applyProtection="1">
      <alignment vertical="top"/>
    </xf>
    <xf numFmtId="0" fontId="2" fillId="3" borderId="20" xfId="0" applyFont="1" applyFill="1" applyBorder="1" applyAlignment="1" applyProtection="1">
      <alignment horizontal="right" vertical="center"/>
    </xf>
    <xf numFmtId="0" fontId="18" fillId="3" borderId="0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left" vertical="center"/>
    </xf>
    <xf numFmtId="0" fontId="17" fillId="3" borderId="0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right" vertical="center"/>
    </xf>
    <xf numFmtId="0" fontId="17" fillId="3" borderId="1" xfId="0" applyFont="1" applyFill="1" applyBorder="1" applyAlignment="1" applyProtection="1">
      <alignment vertical="center"/>
      <protection locked="0"/>
    </xf>
    <xf numFmtId="0" fontId="19" fillId="3" borderId="1" xfId="0" applyFont="1" applyFill="1" applyBorder="1" applyAlignment="1" applyProtection="1">
      <alignment vertical="center"/>
      <protection locked="0"/>
    </xf>
    <xf numFmtId="0" fontId="19" fillId="3" borderId="9" xfId="0" applyFont="1" applyFill="1" applyBorder="1" applyAlignment="1" applyProtection="1">
      <alignment vertical="center"/>
      <protection locked="0"/>
    </xf>
    <xf numFmtId="178" fontId="16" fillId="0" borderId="12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7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/>
    </xf>
    <xf numFmtId="0" fontId="21" fillId="0" borderId="1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vertical="center"/>
    </xf>
    <xf numFmtId="0" fontId="21" fillId="0" borderId="0" xfId="0" applyFont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applyFont="1">
      <alignment vertical="center"/>
    </xf>
    <xf numFmtId="0" fontId="23" fillId="3" borderId="0" xfId="0" applyFont="1" applyFill="1" applyBorder="1" applyAlignment="1" applyProtection="1">
      <alignment horizontal="left" vertical="center"/>
    </xf>
    <xf numFmtId="0" fontId="17" fillId="3" borderId="0" xfId="0" applyFont="1" applyFill="1" applyBorder="1" applyAlignment="1" applyProtection="1">
      <alignment vertical="center"/>
      <protection locked="0"/>
    </xf>
    <xf numFmtId="0" fontId="0" fillId="5" borderId="0" xfId="0" applyFill="1" applyBorder="1">
      <alignment vertical="center"/>
    </xf>
    <xf numFmtId="0" fontId="0" fillId="5" borderId="18" xfId="0" applyFill="1" applyBorder="1">
      <alignment vertical="center"/>
    </xf>
    <xf numFmtId="0" fontId="27" fillId="3" borderId="0" xfId="0" applyFont="1" applyFill="1" applyBorder="1" applyProtection="1">
      <alignment vertical="center"/>
      <protection locked="0"/>
    </xf>
    <xf numFmtId="0" fontId="31" fillId="2" borderId="1" xfId="0" applyFont="1" applyFill="1" applyBorder="1">
      <alignment vertical="center"/>
    </xf>
    <xf numFmtId="0" fontId="32" fillId="2" borderId="1" xfId="0" applyFont="1" applyFill="1" applyBorder="1">
      <alignment vertical="center"/>
    </xf>
    <xf numFmtId="0" fontId="10" fillId="0" borderId="11" xfId="0" applyFont="1" applyBorder="1" applyAlignment="1" applyProtection="1">
      <alignment horizontal="center" vertical="center"/>
      <protection locked="0"/>
    </xf>
    <xf numFmtId="0" fontId="34" fillId="0" borderId="0" xfId="0" applyFont="1">
      <alignment vertical="center"/>
    </xf>
    <xf numFmtId="0" fontId="35" fillId="0" borderId="0" xfId="0" applyFont="1" applyAlignment="1">
      <alignment horizontal="center" vertical="center"/>
    </xf>
    <xf numFmtId="0" fontId="0" fillId="6" borderId="0" xfId="0" applyFill="1">
      <alignment vertical="center"/>
    </xf>
    <xf numFmtId="0" fontId="33" fillId="0" borderId="0" xfId="0" applyNumberFormat="1" applyFont="1" applyAlignme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right" vertical="center"/>
    </xf>
    <xf numFmtId="0" fontId="39" fillId="0" borderId="0" xfId="0" applyFont="1">
      <alignment vertical="center"/>
    </xf>
    <xf numFmtId="0" fontId="37" fillId="0" borderId="0" xfId="0" applyFont="1" applyAlignment="1">
      <alignment vertical="center"/>
    </xf>
    <xf numFmtId="2" fontId="33" fillId="0" borderId="0" xfId="0" applyNumberFormat="1" applyFont="1" applyAlignment="1">
      <alignment horizontal="right" vertical="center"/>
    </xf>
    <xf numFmtId="0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vertical="center"/>
    </xf>
    <xf numFmtId="0" fontId="33" fillId="0" borderId="0" xfId="0" applyNumberFormat="1" applyFont="1" applyAlignment="1">
      <alignment horizontal="center" vertical="center"/>
    </xf>
    <xf numFmtId="0" fontId="26" fillId="0" borderId="0" xfId="0" applyNumberFormat="1" applyFont="1">
      <alignment vertical="center"/>
    </xf>
    <xf numFmtId="0" fontId="34" fillId="0" borderId="1" xfId="0" applyFont="1" applyBorder="1">
      <alignment vertical="center"/>
    </xf>
    <xf numFmtId="0" fontId="0" fillId="0" borderId="9" xfId="0" applyBorder="1">
      <alignment vertical="center"/>
    </xf>
    <xf numFmtId="0" fontId="33" fillId="7" borderId="20" xfId="0" applyFont="1" applyFill="1" applyBorder="1" applyAlignment="1">
      <alignment horizontal="center" vertical="distributed"/>
    </xf>
    <xf numFmtId="0" fontId="33" fillId="0" borderId="20" xfId="0" applyFont="1" applyFill="1" applyBorder="1" applyAlignment="1">
      <alignment horizontal="center" vertical="distributed"/>
    </xf>
    <xf numFmtId="0" fontId="33" fillId="0" borderId="20" xfId="0" applyFont="1" applyBorder="1" applyAlignment="1">
      <alignment horizontal="center" vertical="distributed"/>
    </xf>
    <xf numFmtId="0" fontId="37" fillId="0" borderId="20" xfId="0" applyFont="1" applyBorder="1" applyAlignment="1">
      <alignment horizontal="center" vertical="top" textRotation="180"/>
    </xf>
    <xf numFmtId="0" fontId="0" fillId="0" borderId="23" xfId="0" applyBorder="1">
      <alignment vertical="center"/>
    </xf>
    <xf numFmtId="0" fontId="39" fillId="0" borderId="23" xfId="0" applyFont="1" applyBorder="1">
      <alignment vertical="center"/>
    </xf>
    <xf numFmtId="0" fontId="33" fillId="0" borderId="23" xfId="0" applyNumberFormat="1" applyFont="1" applyBorder="1">
      <alignment vertical="center"/>
    </xf>
    <xf numFmtId="0" fontId="39" fillId="0" borderId="24" xfId="0" applyFont="1" applyBorder="1">
      <alignment vertical="center"/>
    </xf>
    <xf numFmtId="0" fontId="26" fillId="0" borderId="23" xfId="0" applyNumberFormat="1" applyFont="1" applyBorder="1">
      <alignment vertical="center"/>
    </xf>
    <xf numFmtId="0" fontId="0" fillId="0" borderId="24" xfId="0" applyBorder="1">
      <alignment vertical="center"/>
    </xf>
    <xf numFmtId="0" fontId="35" fillId="0" borderId="0" xfId="0" applyFont="1" applyAlignment="1">
      <alignment horizontal="center" vertical="top"/>
    </xf>
    <xf numFmtId="0" fontId="39" fillId="0" borderId="0" xfId="0" applyFont="1" applyAlignment="1">
      <alignment vertical="top"/>
    </xf>
    <xf numFmtId="2" fontId="33" fillId="0" borderId="0" xfId="0" applyNumberFormat="1" applyFont="1" applyAlignment="1">
      <alignment horizontal="right" vertical="top"/>
    </xf>
    <xf numFmtId="0" fontId="37" fillId="0" borderId="0" xfId="0" applyFont="1" applyAlignment="1">
      <alignment horizontal="left" vertical="top"/>
    </xf>
    <xf numFmtId="0" fontId="0" fillId="6" borderId="0" xfId="0" applyFill="1" applyAlignment="1">
      <alignment vertical="top"/>
    </xf>
    <xf numFmtId="0" fontId="0" fillId="0" borderId="0" xfId="0" applyAlignment="1">
      <alignment vertical="top"/>
    </xf>
    <xf numFmtId="0" fontId="1" fillId="0" borderId="0" xfId="2">
      <alignment vertical="center"/>
    </xf>
    <xf numFmtId="0" fontId="1" fillId="0" borderId="0" xfId="2" applyFont="1" applyAlignment="1">
      <alignment horizontal="center" vertical="center"/>
    </xf>
    <xf numFmtId="0" fontId="1" fillId="0" borderId="0" xfId="2" applyAlignment="1">
      <alignment horizontal="center" vertical="center"/>
    </xf>
    <xf numFmtId="0" fontId="41" fillId="0" borderId="0" xfId="2" applyFont="1" applyAlignment="1">
      <alignment horizontal="right" vertical="center"/>
    </xf>
    <xf numFmtId="0" fontId="42" fillId="0" borderId="0" xfId="2" applyFont="1" applyAlignment="1">
      <alignment horizontal="right" vertical="center"/>
    </xf>
    <xf numFmtId="0" fontId="26" fillId="0" borderId="0" xfId="2" applyFont="1" applyAlignment="1">
      <alignment horizontal="center" vertical="center"/>
    </xf>
    <xf numFmtId="0" fontId="26" fillId="0" borderId="0" xfId="2" applyFont="1">
      <alignment vertical="center"/>
    </xf>
    <xf numFmtId="179" fontId="26" fillId="0" borderId="0" xfId="2" applyNumberFormat="1" applyFont="1">
      <alignment vertical="center"/>
    </xf>
    <xf numFmtId="0" fontId="35" fillId="0" borderId="29" xfId="2" applyFont="1" applyBorder="1" applyAlignment="1">
      <alignment vertical="center"/>
    </xf>
    <xf numFmtId="0" fontId="35" fillId="0" borderId="29" xfId="2" applyFont="1" applyFill="1" applyBorder="1" applyAlignment="1">
      <alignment vertical="center"/>
    </xf>
    <xf numFmtId="179" fontId="35" fillId="0" borderId="29" xfId="2" applyNumberFormat="1" applyFont="1" applyBorder="1" applyAlignment="1">
      <alignment vertical="center"/>
    </xf>
    <xf numFmtId="0" fontId="40" fillId="0" borderId="0" xfId="2" applyFont="1" applyBorder="1" applyAlignment="1">
      <alignment horizontal="center" vertical="distributed" shrinkToFit="1"/>
    </xf>
    <xf numFmtId="0" fontId="1" fillId="0" borderId="29" xfId="2" applyBorder="1" applyAlignment="1">
      <alignment horizontal="center" vertical="center"/>
    </xf>
    <xf numFmtId="0" fontId="1" fillId="0" borderId="30" xfId="2" applyBorder="1" applyAlignment="1">
      <alignment horizontal="center" vertical="center"/>
    </xf>
    <xf numFmtId="0" fontId="45" fillId="0" borderId="0" xfId="2" applyFont="1">
      <alignment vertical="center"/>
    </xf>
    <xf numFmtId="0" fontId="1" fillId="0" borderId="0" xfId="0" applyFont="1" applyBorder="1">
      <alignment vertical="center"/>
    </xf>
    <xf numFmtId="49" fontId="13" fillId="3" borderId="16" xfId="1" applyNumberFormat="1" applyFont="1" applyFill="1" applyBorder="1" applyAlignment="1" applyProtection="1">
      <alignment horizontal="right"/>
    </xf>
    <xf numFmtId="0" fontId="1" fillId="0" borderId="0" xfId="0" applyFont="1">
      <alignment vertical="center"/>
    </xf>
    <xf numFmtId="0" fontId="1" fillId="0" borderId="0" xfId="0" applyFont="1" applyFill="1" applyBorder="1">
      <alignment vertical="center"/>
    </xf>
    <xf numFmtId="0" fontId="28" fillId="3" borderId="20" xfId="0" applyFont="1" applyFill="1" applyBorder="1" applyAlignment="1" applyProtection="1">
      <alignment horizontal="center" vertical="center"/>
    </xf>
    <xf numFmtId="0" fontId="28" fillId="3" borderId="0" xfId="0" applyFont="1" applyFill="1" applyBorder="1" applyAlignment="1" applyProtection="1">
      <alignment horizontal="center" vertical="center"/>
    </xf>
    <xf numFmtId="176" fontId="10" fillId="4" borderId="26" xfId="0" applyNumberFormat="1" applyFont="1" applyFill="1" applyBorder="1" applyAlignment="1" applyProtection="1">
      <alignment horizontal="right" vertical="center"/>
    </xf>
    <xf numFmtId="176" fontId="10" fillId="4" borderId="23" xfId="0" applyNumberFormat="1" applyFont="1" applyFill="1" applyBorder="1" applyAlignment="1" applyProtection="1">
      <alignment horizontal="right" vertical="center"/>
    </xf>
    <xf numFmtId="0" fontId="16" fillId="4" borderId="23" xfId="0" applyFont="1" applyFill="1" applyBorder="1" applyAlignment="1">
      <alignment horizontal="right" vertical="center"/>
    </xf>
    <xf numFmtId="0" fontId="16" fillId="4" borderId="24" xfId="0" applyFont="1" applyFill="1" applyBorder="1" applyAlignment="1">
      <alignment horizontal="right" vertical="center"/>
    </xf>
    <xf numFmtId="176" fontId="2" fillId="4" borderId="26" xfId="0" applyNumberFormat="1" applyFont="1" applyFill="1" applyBorder="1" applyAlignment="1" applyProtection="1">
      <alignment horizontal="right" vertical="center"/>
    </xf>
    <xf numFmtId="176" fontId="2" fillId="4" borderId="23" xfId="0" applyNumberFormat="1" applyFont="1" applyFill="1" applyBorder="1" applyAlignment="1" applyProtection="1">
      <alignment horizontal="right" vertical="center"/>
    </xf>
    <xf numFmtId="0" fontId="0" fillId="4" borderId="23" xfId="0" applyFill="1" applyBorder="1" applyAlignment="1">
      <alignment horizontal="right" vertical="center"/>
    </xf>
    <xf numFmtId="0" fontId="0" fillId="4" borderId="24" xfId="0" applyFill="1" applyBorder="1" applyAlignment="1">
      <alignment horizontal="right" vertical="center"/>
    </xf>
    <xf numFmtId="0" fontId="25" fillId="2" borderId="25" xfId="0" applyFont="1" applyFill="1" applyBorder="1" applyAlignment="1" applyProtection="1">
      <alignment horizontal="right" vertical="center"/>
      <protection locked="0"/>
    </xf>
    <xf numFmtId="0" fontId="26" fillId="2" borderId="1" xfId="0" applyFont="1" applyFill="1" applyBorder="1" applyAlignment="1">
      <alignment horizontal="right" vertical="center"/>
    </xf>
    <xf numFmtId="0" fontId="21" fillId="0" borderId="22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" fillId="0" borderId="18" xfId="0" applyFont="1" applyBorder="1" applyAlignment="1" applyProtection="1">
      <alignment horizontal="right"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locked="0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25" fillId="2" borderId="1" xfId="0" applyFont="1" applyFill="1" applyBorder="1" applyAlignment="1" applyProtection="1">
      <alignment horizontal="right" vertical="center"/>
      <protection locked="0"/>
    </xf>
    <xf numFmtId="181" fontId="11" fillId="3" borderId="0" xfId="0" applyNumberFormat="1" applyFont="1" applyFill="1" applyBorder="1" applyAlignment="1" applyProtection="1">
      <alignment horizontal="center" vertical="center"/>
      <protection locked="0"/>
    </xf>
    <xf numFmtId="180" fontId="23" fillId="3" borderId="0" xfId="0" applyNumberFormat="1" applyFont="1" applyFill="1" applyBorder="1" applyAlignment="1" applyProtection="1">
      <alignment horizontal="center"/>
      <protection locked="0"/>
    </xf>
    <xf numFmtId="180" fontId="23" fillId="3" borderId="28" xfId="0" applyNumberFormat="1" applyFont="1" applyFill="1" applyBorder="1" applyAlignment="1" applyProtection="1">
      <alignment horizontal="center"/>
      <protection locked="0"/>
    </xf>
    <xf numFmtId="178" fontId="18" fillId="3" borderId="0" xfId="0" applyNumberFormat="1" applyFont="1" applyFill="1" applyBorder="1" applyAlignment="1" applyProtection="1">
      <alignment horizontal="right" vertical="center"/>
    </xf>
    <xf numFmtId="0" fontId="18" fillId="3" borderId="0" xfId="0" applyFont="1" applyFill="1" applyBorder="1" applyAlignment="1" applyProtection="1">
      <alignment horizontal="right" vertical="center"/>
    </xf>
    <xf numFmtId="0" fontId="18" fillId="3" borderId="0" xfId="0" applyFont="1" applyFill="1" applyBorder="1" applyAlignment="1" applyProtection="1">
      <alignment horizontal="center" vertical="center"/>
    </xf>
    <xf numFmtId="0" fontId="11" fillId="3" borderId="16" xfId="0" applyFont="1" applyFill="1" applyBorder="1" applyAlignment="1" applyProtection="1">
      <alignment horizontal="right" vertical="center"/>
      <protection locked="0"/>
    </xf>
    <xf numFmtId="0" fontId="11" fillId="3" borderId="16" xfId="0" applyFont="1" applyFill="1" applyBorder="1" applyAlignment="1" applyProtection="1">
      <alignment horizontal="center" vertical="center"/>
      <protection locked="0"/>
    </xf>
    <xf numFmtId="0" fontId="25" fillId="0" borderId="31" xfId="2" applyFont="1" applyBorder="1" applyAlignment="1">
      <alignment horizontal="right" vertical="center"/>
    </xf>
    <xf numFmtId="0" fontId="25" fillId="0" borderId="32" xfId="2" applyFont="1" applyBorder="1" applyAlignment="1">
      <alignment horizontal="right" vertical="center"/>
    </xf>
    <xf numFmtId="0" fontId="25" fillId="0" borderId="31" xfId="2" applyFont="1" applyFill="1" applyBorder="1" applyAlignment="1">
      <alignment horizontal="right" vertical="center"/>
    </xf>
    <xf numFmtId="0" fontId="25" fillId="0" borderId="32" xfId="2" applyFont="1" applyFill="1" applyBorder="1" applyAlignment="1">
      <alignment horizontal="right" vertical="center"/>
    </xf>
    <xf numFmtId="0" fontId="25" fillId="0" borderId="34" xfId="2" applyFont="1" applyBorder="1" applyAlignment="1">
      <alignment horizontal="right" vertical="center"/>
    </xf>
    <xf numFmtId="0" fontId="25" fillId="0" borderId="35" xfId="2" applyFont="1" applyBorder="1" applyAlignment="1">
      <alignment horizontal="right" vertical="center"/>
    </xf>
    <xf numFmtId="0" fontId="43" fillId="0" borderId="33" xfId="2" applyFont="1" applyBorder="1" applyAlignment="1">
      <alignment horizontal="right" vertical="center"/>
    </xf>
    <xf numFmtId="0" fontId="43" fillId="0" borderId="29" xfId="2" applyFont="1" applyBorder="1" applyAlignment="1">
      <alignment horizontal="right" vertical="center"/>
    </xf>
    <xf numFmtId="0" fontId="43" fillId="0" borderId="33" xfId="2" applyFont="1" applyFill="1" applyBorder="1" applyAlignment="1">
      <alignment horizontal="right" vertical="center"/>
    </xf>
    <xf numFmtId="0" fontId="43" fillId="0" borderId="29" xfId="2" applyFont="1" applyFill="1" applyBorder="1" applyAlignment="1">
      <alignment horizontal="right" vertical="center"/>
    </xf>
    <xf numFmtId="179" fontId="47" fillId="0" borderId="29" xfId="2" applyNumberFormat="1" applyFont="1" applyBorder="1" applyAlignment="1">
      <alignment horizontal="right" vertical="center"/>
    </xf>
    <xf numFmtId="0" fontId="44" fillId="0" borderId="30" xfId="2" applyFont="1" applyBorder="1" applyAlignment="1">
      <alignment horizontal="center" vertical="distributed" shrinkToFit="1"/>
    </xf>
    <xf numFmtId="0" fontId="37" fillId="0" borderId="0" xfId="0" applyFont="1" applyAlignment="1">
      <alignment horizontal="left" vertical="center"/>
    </xf>
    <xf numFmtId="0" fontId="33" fillId="0" borderId="1" xfId="0" applyFont="1" applyBorder="1" applyAlignment="1">
      <alignment horizontal="left"/>
    </xf>
    <xf numFmtId="0" fontId="33" fillId="0" borderId="0" xfId="0" applyNumberFormat="1" applyFont="1" applyAlignment="1">
      <alignment horizontal="center" vertical="center"/>
    </xf>
    <xf numFmtId="0" fontId="33" fillId="0" borderId="18" xfId="0" applyNumberFormat="1" applyFont="1" applyBorder="1" applyAlignment="1">
      <alignment horizontal="center" vertical="center"/>
    </xf>
    <xf numFmtId="0" fontId="40" fillId="0" borderId="20" xfId="0" applyFont="1" applyBorder="1" applyAlignment="1">
      <alignment horizontal="center" vertical="distributed" textRotation="180"/>
    </xf>
  </cellXfs>
  <cellStyles count="3">
    <cellStyle name="常规" xfId="0" builtinId="0"/>
    <cellStyle name="常规 2" xfId="2"/>
    <cellStyle name="货币" xfId="1" builtinId="4"/>
  </cellStyles>
  <dxfs count="15">
    <dxf>
      <font>
        <condense val="0"/>
        <extend val="0"/>
        <color indexed="8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9"/>
      </font>
    </dxf>
    <dxf>
      <font>
        <color theme="0" tint="-0.14996795556505021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3D3D3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5F5F5F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000000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.jpe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195055</xdr:colOff>
      <xdr:row>0</xdr:row>
      <xdr:rowOff>0</xdr:rowOff>
    </xdr:from>
    <xdr:to>
      <xdr:col>3</xdr:col>
      <xdr:colOff>290305</xdr:colOff>
      <xdr:row>1</xdr:row>
      <xdr:rowOff>92765</xdr:rowOff>
    </xdr:to>
    <xdr:pic>
      <xdr:nvPicPr>
        <xdr:cNvPr id="1050" name="Picture 26" descr="logo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</a14:imgLayer>
              </a14:imgProps>
            </a:ext>
          </a:extLst>
        </a:blip>
        <a:srcRect/>
        <a:stretch>
          <a:fillRect/>
        </a:stretch>
      </xdr:blipFill>
      <xdr:spPr bwMode="auto">
        <a:xfrm>
          <a:off x="195055" y="0"/>
          <a:ext cx="1676400" cy="40709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9525</xdr:colOff>
      <xdr:row>36</xdr:row>
      <xdr:rowOff>24493</xdr:rowOff>
    </xdr:from>
    <xdr:to>
      <xdr:col>1</xdr:col>
      <xdr:colOff>243840</xdr:colOff>
      <xdr:row>38</xdr:row>
      <xdr:rowOff>129540</xdr:rowOff>
    </xdr:to>
    <xdr:pic>
      <xdr:nvPicPr>
        <xdr:cNvPr id="1067" name="Picture 43" descr="3"/>
        <xdr:cNvPicPr>
          <a:picLocks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7050133"/>
          <a:ext cx="440055" cy="455567"/>
        </a:xfrm>
        <a:prstGeom prst="rect">
          <a:avLst/>
        </a:prstGeom>
        <a:noFill/>
      </xdr:spPr>
    </xdr:pic>
    <xdr:clientData/>
  </xdr:twoCellAnchor>
  <xdr:twoCellAnchor editAs="oneCell">
    <xdr:from>
      <xdr:col>10</xdr:col>
      <xdr:colOff>9525</xdr:colOff>
      <xdr:row>36</xdr:row>
      <xdr:rowOff>24493</xdr:rowOff>
    </xdr:from>
    <xdr:to>
      <xdr:col>11</xdr:col>
      <xdr:colOff>259080</xdr:colOff>
      <xdr:row>38</xdr:row>
      <xdr:rowOff>106680</xdr:rowOff>
    </xdr:to>
    <xdr:pic>
      <xdr:nvPicPr>
        <xdr:cNvPr id="1068" name="Picture 44" descr="4"/>
        <xdr:cNvPicPr preferRelativeResize="0">
          <a:picLocks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231005" y="7050133"/>
          <a:ext cx="455295" cy="432707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9525</xdr:colOff>
      <xdr:row>63</xdr:row>
      <xdr:rowOff>28575</xdr:rowOff>
    </xdr:from>
    <xdr:to>
      <xdr:col>1</xdr:col>
      <xdr:colOff>220980</xdr:colOff>
      <xdr:row>65</xdr:row>
      <xdr:rowOff>106680</xdr:rowOff>
    </xdr:to>
    <xdr:pic>
      <xdr:nvPicPr>
        <xdr:cNvPr id="1069" name="Picture 45" descr="5"/>
        <xdr:cNvPicPr>
          <a:picLocks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9525" y="12327255"/>
          <a:ext cx="417195" cy="428625"/>
        </a:xfrm>
        <a:prstGeom prst="rect">
          <a:avLst/>
        </a:prstGeom>
        <a:noFill/>
      </xdr:spPr>
    </xdr:pic>
    <xdr:clientData/>
  </xdr:twoCellAnchor>
  <xdr:twoCellAnchor editAs="oneCell">
    <xdr:from>
      <xdr:col>10</xdr:col>
      <xdr:colOff>9526</xdr:colOff>
      <xdr:row>63</xdr:row>
      <xdr:rowOff>28695</xdr:rowOff>
    </xdr:from>
    <xdr:to>
      <xdr:col>11</xdr:col>
      <xdr:colOff>312420</xdr:colOff>
      <xdr:row>65</xdr:row>
      <xdr:rowOff>99061</xdr:rowOff>
    </xdr:to>
    <xdr:pic>
      <xdr:nvPicPr>
        <xdr:cNvPr id="1070" name="Picture 46" descr="6"/>
        <xdr:cNvPicPr>
          <a:picLocks noChangeArrowheads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4231006" y="12327375"/>
          <a:ext cx="508634" cy="420886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9526</xdr:colOff>
      <xdr:row>90</xdr:row>
      <xdr:rowOff>27333</xdr:rowOff>
    </xdr:from>
    <xdr:to>
      <xdr:col>1</xdr:col>
      <xdr:colOff>274320</xdr:colOff>
      <xdr:row>92</xdr:row>
      <xdr:rowOff>106680</xdr:rowOff>
    </xdr:to>
    <xdr:pic>
      <xdr:nvPicPr>
        <xdr:cNvPr id="1071" name="Picture 47" descr="7"/>
        <xdr:cNvPicPr>
          <a:picLocks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9526" y="17599053"/>
          <a:ext cx="470534" cy="429867"/>
        </a:xfrm>
        <a:prstGeom prst="rect">
          <a:avLst/>
        </a:prstGeom>
        <a:noFill/>
      </xdr:spPr>
    </xdr:pic>
    <xdr:clientData/>
  </xdr:twoCellAnchor>
  <xdr:twoCellAnchor editAs="oneCell">
    <xdr:from>
      <xdr:col>10</xdr:col>
      <xdr:colOff>9525</xdr:colOff>
      <xdr:row>90</xdr:row>
      <xdr:rowOff>27334</xdr:rowOff>
    </xdr:from>
    <xdr:to>
      <xdr:col>11</xdr:col>
      <xdr:colOff>259080</xdr:colOff>
      <xdr:row>92</xdr:row>
      <xdr:rowOff>83820</xdr:rowOff>
    </xdr:to>
    <xdr:pic>
      <xdr:nvPicPr>
        <xdr:cNvPr id="1072" name="Picture 48" descr="8"/>
        <xdr:cNvPicPr>
          <a:picLocks noChangeArrowheads="1"/>
        </xdr:cNvPicPr>
      </xdr:nvPicPr>
      <xdr:blipFill>
        <a:blip xmlns:r="http://schemas.openxmlformats.org/officeDocument/2006/relationships" r:embed="rId8"/>
        <a:srcRect/>
        <a:stretch>
          <a:fillRect/>
        </a:stretch>
      </xdr:blipFill>
      <xdr:spPr bwMode="auto">
        <a:xfrm>
          <a:off x="4231005" y="17599054"/>
          <a:ext cx="455295" cy="407006"/>
        </a:xfrm>
        <a:prstGeom prst="rect">
          <a:avLst/>
        </a:prstGeom>
        <a:noFill/>
      </xdr:spPr>
    </xdr:pic>
    <xdr:clientData/>
  </xdr:twoCellAnchor>
  <xdr:twoCellAnchor editAs="oneCell">
    <xdr:from>
      <xdr:col>10</xdr:col>
      <xdr:colOff>9525</xdr:colOff>
      <xdr:row>9</xdr:row>
      <xdr:rowOff>27335</xdr:rowOff>
    </xdr:from>
    <xdr:to>
      <xdr:col>11</xdr:col>
      <xdr:colOff>259080</xdr:colOff>
      <xdr:row>11</xdr:row>
      <xdr:rowOff>129541</xdr:rowOff>
    </xdr:to>
    <xdr:pic>
      <xdr:nvPicPr>
        <xdr:cNvPr id="1073" name="Picture 49" descr="2"/>
        <xdr:cNvPicPr>
          <a:picLocks noChangeArrowheads="1"/>
        </xdr:cNvPicPr>
      </xdr:nvPicPr>
      <xdr:blipFill>
        <a:blip xmlns:r="http://schemas.openxmlformats.org/officeDocument/2006/relationships" r:embed="rId9"/>
        <a:srcRect/>
        <a:stretch>
          <a:fillRect/>
        </a:stretch>
      </xdr:blipFill>
      <xdr:spPr bwMode="auto">
        <a:xfrm>
          <a:off x="4231005" y="1779935"/>
          <a:ext cx="455295" cy="452726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9525</xdr:colOff>
      <xdr:row>9</xdr:row>
      <xdr:rowOff>28575</xdr:rowOff>
    </xdr:from>
    <xdr:to>
      <xdr:col>1</xdr:col>
      <xdr:colOff>365760</xdr:colOff>
      <xdr:row>10</xdr:row>
      <xdr:rowOff>160020</xdr:rowOff>
    </xdr:to>
    <xdr:pic>
      <xdr:nvPicPr>
        <xdr:cNvPr id="1074" name="Picture 50" descr="1"/>
        <xdr:cNvPicPr>
          <a:picLocks noChangeArrowheads="1"/>
        </xdr:cNvPicPr>
      </xdr:nvPicPr>
      <xdr:blipFill>
        <a:blip xmlns:r="http://schemas.openxmlformats.org/officeDocument/2006/relationships" r:embed="rId10"/>
        <a:srcRect/>
        <a:stretch>
          <a:fillRect/>
        </a:stretch>
      </xdr:blipFill>
      <xdr:spPr bwMode="auto">
        <a:xfrm>
          <a:off x="9525" y="1781175"/>
          <a:ext cx="561975" cy="306705"/>
        </a:xfrm>
        <a:prstGeom prst="rect">
          <a:avLst/>
        </a:prstGeom>
        <a:noFill/>
      </xdr:spPr>
    </xdr:pic>
    <xdr:clientData/>
  </xdr:twoCellAnchor>
  <xdr:twoCellAnchor>
    <xdr:from>
      <xdr:col>15</xdr:col>
      <xdr:colOff>142875</xdr:colOff>
      <xdr:row>2</xdr:row>
      <xdr:rowOff>152400</xdr:rowOff>
    </xdr:from>
    <xdr:to>
      <xdr:col>19</xdr:col>
      <xdr:colOff>123825</xdr:colOff>
      <xdr:row>5</xdr:row>
      <xdr:rowOff>95250</xdr:rowOff>
    </xdr:to>
    <xdr:sp macro="" textlink="">
      <xdr:nvSpPr>
        <xdr:cNvPr id="12" name="单圆角矩形 11"/>
        <xdr:cNvSpPr/>
      </xdr:nvSpPr>
      <xdr:spPr>
        <a:xfrm>
          <a:off x="6705600" y="619125"/>
          <a:ext cx="1752600" cy="438150"/>
        </a:xfrm>
        <a:prstGeom prst="round1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137160</xdr:colOff>
          <xdr:row>10</xdr:row>
          <xdr:rowOff>137160</xdr:rowOff>
        </xdr:from>
        <xdr:to>
          <xdr:col>22</xdr:col>
          <xdr:colOff>76200</xdr:colOff>
          <xdr:row>12</xdr:row>
          <xdr:rowOff>137160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生成导入码单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175260</xdr:colOff>
          <xdr:row>13</xdr:row>
          <xdr:rowOff>106680</xdr:rowOff>
        </xdr:from>
        <xdr:to>
          <xdr:col>22</xdr:col>
          <xdr:colOff>68580</xdr:colOff>
          <xdr:row>15</xdr:row>
          <xdr:rowOff>83820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清空码单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38101</xdr:colOff>
      <xdr:row>0</xdr:row>
      <xdr:rowOff>28575</xdr:rowOff>
    </xdr:from>
    <xdr:to>
      <xdr:col>2</xdr:col>
      <xdr:colOff>390526</xdr:colOff>
      <xdr:row>5</xdr:row>
      <xdr:rowOff>10304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6" y="28575"/>
          <a:ext cx="1104900" cy="115330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153300</xdr:colOff>
      <xdr:row>0</xdr:row>
      <xdr:rowOff>17930</xdr:rowOff>
    </xdr:from>
    <xdr:to>
      <xdr:col>2</xdr:col>
      <xdr:colOff>1013912</xdr:colOff>
      <xdr:row>0</xdr:row>
      <xdr:rowOff>408530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653" y="17930"/>
          <a:ext cx="1649506" cy="390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18"/>
  <sheetViews>
    <sheetView showGridLines="0" tabSelected="1" zoomScaleNormal="100" workbookViewId="0">
      <selection activeCell="E5" sqref="E5:H5"/>
    </sheetView>
  </sheetViews>
  <sheetFormatPr defaultRowHeight="15.6"/>
  <cols>
    <col min="1" max="1" width="2.69921875" customWidth="1"/>
    <col min="4" max="4" width="4.69921875" customWidth="1"/>
    <col min="5" max="8" width="4.8984375" customWidth="1"/>
    <col min="9" max="9" width="8.59765625" customWidth="1"/>
    <col min="10" max="10" width="2.19921875" customWidth="1"/>
    <col min="11" max="11" width="2.69921875" customWidth="1"/>
    <col min="14" max="14" width="4.59765625" customWidth="1"/>
    <col min="15" max="18" width="4.8984375" customWidth="1"/>
    <col min="19" max="19" width="8.59765625" customWidth="1"/>
    <col min="20" max="20" width="9" customWidth="1"/>
    <col min="22" max="22" width="9.5" hidden="1" customWidth="1"/>
  </cols>
  <sheetData>
    <row r="1" spans="1:22" s="2" customFormat="1" ht="24.75" customHeight="1">
      <c r="B1" s="30"/>
      <c r="C1" s="30"/>
      <c r="D1" s="30"/>
      <c r="E1" s="31" t="s">
        <v>39</v>
      </c>
      <c r="F1" s="31"/>
      <c r="O1" s="32"/>
      <c r="V1" s="119" t="s">
        <v>30</v>
      </c>
    </row>
    <row r="2" spans="1:22" s="2" customFormat="1" ht="12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8"/>
      <c r="P2" s="38"/>
      <c r="Q2" s="38"/>
      <c r="R2" s="38"/>
      <c r="S2" s="38"/>
      <c r="V2" s="119" t="s">
        <v>38</v>
      </c>
    </row>
    <row r="3" spans="1:22" ht="12.75" customHeight="1">
      <c r="A3" s="123" t="s">
        <v>16</v>
      </c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9"/>
      <c r="V3" s="119" t="s">
        <v>31</v>
      </c>
    </row>
    <row r="4" spans="1:22" ht="7.5" customHeight="1">
      <c r="A4" s="39"/>
      <c r="B4" s="40"/>
      <c r="C4" s="41"/>
      <c r="D4" s="41"/>
      <c r="E4" s="41"/>
      <c r="F4" s="41"/>
      <c r="G4" s="41"/>
      <c r="H4" s="41"/>
      <c r="I4" s="41"/>
      <c r="J4" s="41"/>
      <c r="K4" s="42"/>
      <c r="L4" s="42"/>
      <c r="M4" s="42"/>
      <c r="N4" s="42"/>
      <c r="O4" s="42"/>
      <c r="P4" s="42"/>
      <c r="Q4" s="42"/>
      <c r="R4" s="42"/>
      <c r="S4" s="42"/>
      <c r="T4" s="9"/>
      <c r="V4" s="119" t="s">
        <v>32</v>
      </c>
    </row>
    <row r="5" spans="1:22" ht="18.75" customHeight="1">
      <c r="A5" s="39"/>
      <c r="B5" s="149" t="s">
        <v>40</v>
      </c>
      <c r="C5" s="149"/>
      <c r="D5" s="149"/>
      <c r="E5" s="150"/>
      <c r="F5" s="150"/>
      <c r="G5" s="150"/>
      <c r="H5" s="150"/>
      <c r="I5" s="43"/>
      <c r="J5" s="43"/>
      <c r="K5" s="43"/>
      <c r="L5" s="43"/>
      <c r="M5" s="43"/>
      <c r="N5" s="43"/>
      <c r="O5" s="43"/>
      <c r="P5" s="120" t="s">
        <v>41</v>
      </c>
      <c r="Q5" s="143" t="s">
        <v>62</v>
      </c>
      <c r="R5" s="143"/>
      <c r="S5" s="143"/>
      <c r="T5" s="9"/>
      <c r="V5" s="119" t="s">
        <v>33</v>
      </c>
    </row>
    <row r="6" spans="1:22" ht="14.25" customHeight="1">
      <c r="A6" s="39"/>
      <c r="B6" s="44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6"/>
      <c r="Q6" s="144"/>
      <c r="R6" s="144"/>
      <c r="S6" s="145"/>
      <c r="T6" s="9"/>
      <c r="V6" s="119" t="s">
        <v>34</v>
      </c>
    </row>
    <row r="7" spans="1:22" ht="15.9" customHeight="1">
      <c r="A7" s="47"/>
      <c r="B7" s="65" t="s">
        <v>13</v>
      </c>
      <c r="C7" s="48">
        <f>D35+N35+D62+N62+D89+N89+D116+N116</f>
        <v>0</v>
      </c>
      <c r="D7" s="49" t="s">
        <v>10</v>
      </c>
      <c r="E7" s="148">
        <f>G35+Q35+G62+Q62+G89+Q89+G116+Q116</f>
        <v>0</v>
      </c>
      <c r="F7" s="148"/>
      <c r="G7" s="50" t="s">
        <v>7</v>
      </c>
      <c r="H7" s="146">
        <f>SUM(I35,S35,I62,S62,I89,S89,I116,S116)</f>
        <v>0</v>
      </c>
      <c r="I7" s="147"/>
      <c r="J7" s="147"/>
      <c r="K7" s="64" t="s">
        <v>14</v>
      </c>
      <c r="L7" s="68"/>
      <c r="M7" s="38"/>
      <c r="N7" s="38"/>
      <c r="O7" s="38"/>
      <c r="P7" s="38"/>
      <c r="Q7" s="66"/>
      <c r="R7" s="66"/>
      <c r="S7" s="67"/>
      <c r="V7" s="119" t="s">
        <v>35</v>
      </c>
    </row>
    <row r="8" spans="1:22" ht="18.75" customHeight="1">
      <c r="A8" s="51"/>
      <c r="B8" s="52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/>
      <c r="T8" s="9"/>
      <c r="V8" s="119" t="s">
        <v>36</v>
      </c>
    </row>
    <row r="9" spans="1:22" ht="15" customHeight="1">
      <c r="A9" s="10"/>
      <c r="B9" s="137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9"/>
      <c r="T9" s="10"/>
      <c r="V9" s="119" t="s">
        <v>37</v>
      </c>
    </row>
    <row r="10" spans="1:22" ht="14.25" customHeight="1">
      <c r="A10" s="129" t="str">
        <f>B5</f>
        <v>浅啡网</v>
      </c>
      <c r="B10" s="130"/>
      <c r="C10" s="130"/>
      <c r="D10" s="130"/>
      <c r="E10" s="131"/>
      <c r="F10" s="131"/>
      <c r="G10" s="131"/>
      <c r="H10" s="131"/>
      <c r="I10" s="132"/>
      <c r="J10" s="1"/>
      <c r="K10" s="129" t="str">
        <f>B5</f>
        <v>浅啡网</v>
      </c>
      <c r="L10" s="130"/>
      <c r="M10" s="130"/>
      <c r="N10" s="130"/>
      <c r="O10" s="131"/>
      <c r="P10" s="131"/>
      <c r="Q10" s="131"/>
      <c r="R10" s="131"/>
      <c r="S10" s="132"/>
      <c r="V10" s="122" t="s">
        <v>61</v>
      </c>
    </row>
    <row r="11" spans="1:22" s="63" customFormat="1" ht="14.25" customHeight="1">
      <c r="A11" s="56" t="s">
        <v>8</v>
      </c>
      <c r="B11" s="141" t="s">
        <v>12</v>
      </c>
      <c r="C11" s="140"/>
      <c r="D11" s="140"/>
      <c r="E11" s="140" t="s">
        <v>2</v>
      </c>
      <c r="F11" s="140"/>
      <c r="G11" s="140"/>
      <c r="H11" s="140"/>
      <c r="I11" s="57"/>
      <c r="J11" s="62"/>
      <c r="K11" s="56" t="s">
        <v>8</v>
      </c>
      <c r="L11" s="141" t="s">
        <v>1</v>
      </c>
      <c r="M11" s="140"/>
      <c r="N11" s="140"/>
      <c r="O11" s="140" t="s">
        <v>2</v>
      </c>
      <c r="P11" s="140"/>
      <c r="Q11" s="140"/>
      <c r="R11" s="140"/>
      <c r="S11" s="57"/>
    </row>
    <row r="12" spans="1:22">
      <c r="A12" s="11"/>
      <c r="B12" s="19" t="s">
        <v>53</v>
      </c>
      <c r="C12" s="20" t="s">
        <v>54</v>
      </c>
      <c r="D12" s="21" t="s">
        <v>55</v>
      </c>
      <c r="E12" s="22" t="s">
        <v>56</v>
      </c>
      <c r="F12" s="22" t="s">
        <v>57</v>
      </c>
      <c r="G12" s="22" t="s">
        <v>58</v>
      </c>
      <c r="H12" s="22" t="s">
        <v>59</v>
      </c>
      <c r="I12" s="23" t="s">
        <v>9</v>
      </c>
      <c r="J12" s="1"/>
      <c r="K12" s="11"/>
      <c r="L12" s="19" t="s">
        <v>52</v>
      </c>
      <c r="M12" s="20" t="s">
        <v>0</v>
      </c>
      <c r="N12" s="21" t="s">
        <v>60</v>
      </c>
      <c r="O12" s="22" t="s">
        <v>3</v>
      </c>
      <c r="P12" s="22" t="s">
        <v>4</v>
      </c>
      <c r="Q12" s="22" t="s">
        <v>5</v>
      </c>
      <c r="R12" s="22" t="s">
        <v>6</v>
      </c>
      <c r="S12" s="23" t="s">
        <v>9</v>
      </c>
    </row>
    <row r="13" spans="1:22" ht="15.6" customHeight="1">
      <c r="A13" s="25">
        <v>1</v>
      </c>
      <c r="B13" s="26"/>
      <c r="C13" s="27"/>
      <c r="D13" s="27"/>
      <c r="E13" s="71"/>
      <c r="F13" s="71"/>
      <c r="G13" s="71"/>
      <c r="H13" s="71"/>
      <c r="I13" s="55">
        <f>ROUND((B13*C13*D13)*0.0001-(E13*F13*D13/2)*0.0001-(G13*H13*D13/2)*0.0001,2)</f>
        <v>0</v>
      </c>
      <c r="J13" s="1"/>
      <c r="K13" s="25">
        <v>1</v>
      </c>
      <c r="L13" s="26"/>
      <c r="M13" s="27"/>
      <c r="N13" s="27"/>
      <c r="O13" s="71"/>
      <c r="P13" s="71"/>
      <c r="Q13" s="71"/>
      <c r="R13" s="71"/>
      <c r="S13" s="55">
        <f>ROUND((L13*M13*N13)*0.0001-(O13*P13*N13/2)*0.0001-(Q13*R13*N13/2)*0.0001,2)</f>
        <v>0</v>
      </c>
    </row>
    <row r="14" spans="1:22" ht="15.6" customHeight="1">
      <c r="A14" s="25">
        <v>2</v>
      </c>
      <c r="B14" s="26"/>
      <c r="C14" s="27"/>
      <c r="D14" s="27"/>
      <c r="E14" s="71"/>
      <c r="F14" s="71"/>
      <c r="G14" s="71"/>
      <c r="H14" s="71"/>
      <c r="I14" s="55">
        <f t="shared" ref="I14:I34" si="0">ROUND((B14*C14*D14)*0.0001-(E14*F14*D14/2)*0.0001-(G14*H14*D14/2)*0.0001,2)</f>
        <v>0</v>
      </c>
      <c r="J14" s="1"/>
      <c r="K14" s="25">
        <v>2</v>
      </c>
      <c r="L14" s="26"/>
      <c r="M14" s="27"/>
      <c r="N14" s="27"/>
      <c r="O14" s="71"/>
      <c r="P14" s="71"/>
      <c r="Q14" s="71"/>
      <c r="R14" s="71"/>
      <c r="S14" s="55">
        <f t="shared" ref="S14:S34" si="1">ROUND((L14*M14*N14)*0.0001-(O14*P14*N14/2)*0.0001-(Q14*R14*N14/2)*0.0001,2)</f>
        <v>0</v>
      </c>
    </row>
    <row r="15" spans="1:22" ht="15.6" customHeight="1">
      <c r="A15" s="25">
        <v>3</v>
      </c>
      <c r="B15" s="26"/>
      <c r="C15" s="27"/>
      <c r="D15" s="27"/>
      <c r="E15" s="71"/>
      <c r="F15" s="71"/>
      <c r="G15" s="71"/>
      <c r="H15" s="71"/>
      <c r="I15" s="55">
        <f t="shared" si="0"/>
        <v>0</v>
      </c>
      <c r="J15" s="1"/>
      <c r="K15" s="25">
        <v>3</v>
      </c>
      <c r="L15" s="26"/>
      <c r="M15" s="27"/>
      <c r="N15" s="27"/>
      <c r="O15" s="71"/>
      <c r="P15" s="71"/>
      <c r="Q15" s="71"/>
      <c r="R15" s="71"/>
      <c r="S15" s="55">
        <f t="shared" si="1"/>
        <v>0</v>
      </c>
    </row>
    <row r="16" spans="1:22" ht="15.6" customHeight="1">
      <c r="A16" s="25">
        <v>4</v>
      </c>
      <c r="B16" s="26"/>
      <c r="C16" s="27"/>
      <c r="D16" s="27"/>
      <c r="E16" s="71"/>
      <c r="F16" s="71"/>
      <c r="G16" s="71"/>
      <c r="H16" s="71"/>
      <c r="I16" s="55">
        <f t="shared" si="0"/>
        <v>0</v>
      </c>
      <c r="J16" s="1"/>
      <c r="K16" s="25">
        <v>4</v>
      </c>
      <c r="L16" s="26"/>
      <c r="M16" s="27"/>
      <c r="N16" s="27"/>
      <c r="O16" s="71"/>
      <c r="P16" s="71"/>
      <c r="Q16" s="71"/>
      <c r="R16" s="71"/>
      <c r="S16" s="55">
        <f t="shared" si="1"/>
        <v>0</v>
      </c>
    </row>
    <row r="17" spans="1:19" ht="15.6" customHeight="1">
      <c r="A17" s="25">
        <v>5</v>
      </c>
      <c r="B17" s="26"/>
      <c r="C17" s="27"/>
      <c r="D17" s="27"/>
      <c r="E17" s="71"/>
      <c r="F17" s="71"/>
      <c r="G17" s="71"/>
      <c r="H17" s="71"/>
      <c r="I17" s="55">
        <f t="shared" si="0"/>
        <v>0</v>
      </c>
      <c r="J17" s="1"/>
      <c r="K17" s="25">
        <v>5</v>
      </c>
      <c r="L17" s="26"/>
      <c r="M17" s="27"/>
      <c r="N17" s="27"/>
      <c r="O17" s="71"/>
      <c r="P17" s="71"/>
      <c r="Q17" s="71"/>
      <c r="R17" s="71"/>
      <c r="S17" s="55">
        <f t="shared" si="1"/>
        <v>0</v>
      </c>
    </row>
    <row r="18" spans="1:19" ht="15.6" customHeight="1">
      <c r="A18" s="25">
        <v>6</v>
      </c>
      <c r="B18" s="26"/>
      <c r="C18" s="27"/>
      <c r="D18" s="27"/>
      <c r="E18" s="71"/>
      <c r="F18" s="71"/>
      <c r="G18" s="71"/>
      <c r="H18" s="71"/>
      <c r="I18" s="55">
        <f t="shared" si="0"/>
        <v>0</v>
      </c>
      <c r="J18" s="1"/>
      <c r="K18" s="25">
        <v>6</v>
      </c>
      <c r="L18" s="26"/>
      <c r="M18" s="27"/>
      <c r="N18" s="27"/>
      <c r="O18" s="71"/>
      <c r="P18" s="71"/>
      <c r="Q18" s="71"/>
      <c r="R18" s="71"/>
      <c r="S18" s="55">
        <f t="shared" si="1"/>
        <v>0</v>
      </c>
    </row>
    <row r="19" spans="1:19" ht="15.6" customHeight="1">
      <c r="A19" s="25">
        <v>7</v>
      </c>
      <c r="B19" s="26"/>
      <c r="C19" s="27"/>
      <c r="D19" s="27"/>
      <c r="E19" s="71"/>
      <c r="F19" s="71"/>
      <c r="G19" s="71"/>
      <c r="H19" s="71"/>
      <c r="I19" s="55">
        <f t="shared" si="0"/>
        <v>0</v>
      </c>
      <c r="J19" s="1"/>
      <c r="K19" s="25">
        <v>7</v>
      </c>
      <c r="L19" s="26"/>
      <c r="M19" s="27"/>
      <c r="N19" s="27"/>
      <c r="O19" s="71"/>
      <c r="P19" s="71"/>
      <c r="Q19" s="71"/>
      <c r="R19" s="71"/>
      <c r="S19" s="55">
        <f t="shared" si="1"/>
        <v>0</v>
      </c>
    </row>
    <row r="20" spans="1:19" ht="15.6" customHeight="1">
      <c r="A20" s="25">
        <v>8</v>
      </c>
      <c r="B20" s="26"/>
      <c r="C20" s="27"/>
      <c r="D20" s="27"/>
      <c r="E20" s="71"/>
      <c r="F20" s="71"/>
      <c r="G20" s="71"/>
      <c r="H20" s="71"/>
      <c r="I20" s="55">
        <f t="shared" si="0"/>
        <v>0</v>
      </c>
      <c r="J20" s="1"/>
      <c r="K20" s="25">
        <v>8</v>
      </c>
      <c r="L20" s="26"/>
      <c r="M20" s="27"/>
      <c r="N20" s="27"/>
      <c r="O20" s="71"/>
      <c r="P20" s="71"/>
      <c r="Q20" s="71"/>
      <c r="R20" s="71"/>
      <c r="S20" s="55">
        <f t="shared" si="1"/>
        <v>0</v>
      </c>
    </row>
    <row r="21" spans="1:19" ht="15.6" customHeight="1">
      <c r="A21" s="25">
        <v>9</v>
      </c>
      <c r="B21" s="26"/>
      <c r="C21" s="27"/>
      <c r="D21" s="27"/>
      <c r="E21" s="71"/>
      <c r="F21" s="71"/>
      <c r="G21" s="71"/>
      <c r="H21" s="71"/>
      <c r="I21" s="55">
        <f t="shared" si="0"/>
        <v>0</v>
      </c>
      <c r="J21" s="1"/>
      <c r="K21" s="25">
        <v>9</v>
      </c>
      <c r="L21" s="26"/>
      <c r="M21" s="27"/>
      <c r="N21" s="27"/>
      <c r="O21" s="71"/>
      <c r="P21" s="71"/>
      <c r="Q21" s="71"/>
      <c r="R21" s="71"/>
      <c r="S21" s="55">
        <f t="shared" si="1"/>
        <v>0</v>
      </c>
    </row>
    <row r="22" spans="1:19" ht="15.6" customHeight="1">
      <c r="A22" s="25">
        <v>10</v>
      </c>
      <c r="B22" s="26"/>
      <c r="C22" s="27"/>
      <c r="D22" s="27"/>
      <c r="E22" s="71"/>
      <c r="F22" s="71"/>
      <c r="G22" s="71"/>
      <c r="H22" s="71"/>
      <c r="I22" s="55">
        <f t="shared" si="0"/>
        <v>0</v>
      </c>
      <c r="J22" s="1"/>
      <c r="K22" s="25">
        <v>10</v>
      </c>
      <c r="L22" s="26"/>
      <c r="M22" s="27"/>
      <c r="N22" s="27"/>
      <c r="O22" s="71"/>
      <c r="P22" s="71"/>
      <c r="Q22" s="71"/>
      <c r="R22" s="71"/>
      <c r="S22" s="55">
        <f t="shared" si="1"/>
        <v>0</v>
      </c>
    </row>
    <row r="23" spans="1:19" ht="15.6" customHeight="1">
      <c r="A23" s="25">
        <v>11</v>
      </c>
      <c r="B23" s="26"/>
      <c r="C23" s="27"/>
      <c r="D23" s="27"/>
      <c r="E23" s="71"/>
      <c r="F23" s="71"/>
      <c r="G23" s="71"/>
      <c r="H23" s="71"/>
      <c r="I23" s="55">
        <f t="shared" si="0"/>
        <v>0</v>
      </c>
      <c r="J23" s="1"/>
      <c r="K23" s="25">
        <v>11</v>
      </c>
      <c r="L23" s="26"/>
      <c r="M23" s="27"/>
      <c r="N23" s="27"/>
      <c r="O23" s="71"/>
      <c r="P23" s="71"/>
      <c r="Q23" s="71"/>
      <c r="R23" s="71"/>
      <c r="S23" s="55">
        <f t="shared" si="1"/>
        <v>0</v>
      </c>
    </row>
    <row r="24" spans="1:19" ht="15.6" customHeight="1">
      <c r="A24" s="25">
        <v>12</v>
      </c>
      <c r="B24" s="26"/>
      <c r="C24" s="27"/>
      <c r="D24" s="27"/>
      <c r="E24" s="71"/>
      <c r="F24" s="71"/>
      <c r="G24" s="71"/>
      <c r="H24" s="71"/>
      <c r="I24" s="55">
        <f t="shared" si="0"/>
        <v>0</v>
      </c>
      <c r="J24" s="1"/>
      <c r="K24" s="25">
        <v>12</v>
      </c>
      <c r="L24" s="26"/>
      <c r="M24" s="27"/>
      <c r="N24" s="27"/>
      <c r="O24" s="71"/>
      <c r="P24" s="71"/>
      <c r="Q24" s="71"/>
      <c r="R24" s="71"/>
      <c r="S24" s="55">
        <f t="shared" si="1"/>
        <v>0</v>
      </c>
    </row>
    <row r="25" spans="1:19" ht="15.6" customHeight="1">
      <c r="A25" s="25">
        <v>13</v>
      </c>
      <c r="B25" s="26"/>
      <c r="C25" s="27"/>
      <c r="D25" s="27"/>
      <c r="E25" s="71"/>
      <c r="F25" s="71"/>
      <c r="G25" s="71"/>
      <c r="H25" s="71"/>
      <c r="I25" s="55">
        <f t="shared" si="0"/>
        <v>0</v>
      </c>
      <c r="J25" s="1"/>
      <c r="K25" s="25">
        <v>13</v>
      </c>
      <c r="L25" s="26"/>
      <c r="M25" s="27"/>
      <c r="N25" s="27"/>
      <c r="O25" s="71"/>
      <c r="P25" s="71"/>
      <c r="Q25" s="71"/>
      <c r="R25" s="71"/>
      <c r="S25" s="55">
        <f t="shared" si="1"/>
        <v>0</v>
      </c>
    </row>
    <row r="26" spans="1:19" ht="15.6" customHeight="1">
      <c r="A26" s="25">
        <v>14</v>
      </c>
      <c r="B26" s="26"/>
      <c r="C26" s="27"/>
      <c r="D26" s="27"/>
      <c r="E26" s="71"/>
      <c r="F26" s="71"/>
      <c r="G26" s="71"/>
      <c r="H26" s="71"/>
      <c r="I26" s="55">
        <f t="shared" si="0"/>
        <v>0</v>
      </c>
      <c r="J26" s="1"/>
      <c r="K26" s="25">
        <v>14</v>
      </c>
      <c r="L26" s="26"/>
      <c r="M26" s="27"/>
      <c r="N26" s="27"/>
      <c r="O26" s="71"/>
      <c r="P26" s="71"/>
      <c r="Q26" s="71"/>
      <c r="R26" s="71"/>
      <c r="S26" s="55">
        <f t="shared" si="1"/>
        <v>0</v>
      </c>
    </row>
    <row r="27" spans="1:19" ht="15.6" customHeight="1">
      <c r="A27" s="25">
        <v>15</v>
      </c>
      <c r="B27" s="26"/>
      <c r="C27" s="27"/>
      <c r="D27" s="27"/>
      <c r="E27" s="71"/>
      <c r="F27" s="71"/>
      <c r="G27" s="71"/>
      <c r="H27" s="71"/>
      <c r="I27" s="55">
        <f t="shared" si="0"/>
        <v>0</v>
      </c>
      <c r="J27" s="1"/>
      <c r="K27" s="25">
        <v>15</v>
      </c>
      <c r="L27" s="26"/>
      <c r="M27" s="27"/>
      <c r="N27" s="27"/>
      <c r="O27" s="71"/>
      <c r="P27" s="71"/>
      <c r="Q27" s="71"/>
      <c r="R27" s="71"/>
      <c r="S27" s="55">
        <f t="shared" si="1"/>
        <v>0</v>
      </c>
    </row>
    <row r="28" spans="1:19" ht="15.6" customHeight="1">
      <c r="A28" s="25">
        <v>16</v>
      </c>
      <c r="B28" s="26"/>
      <c r="C28" s="27"/>
      <c r="D28" s="27"/>
      <c r="E28" s="71"/>
      <c r="F28" s="71"/>
      <c r="G28" s="71"/>
      <c r="H28" s="71"/>
      <c r="I28" s="55">
        <f t="shared" si="0"/>
        <v>0</v>
      </c>
      <c r="J28" s="1"/>
      <c r="K28" s="25">
        <v>16</v>
      </c>
      <c r="L28" s="26"/>
      <c r="M28" s="27"/>
      <c r="N28" s="27"/>
      <c r="O28" s="71"/>
      <c r="P28" s="71"/>
      <c r="Q28" s="71"/>
      <c r="R28" s="71"/>
      <c r="S28" s="55">
        <f t="shared" si="1"/>
        <v>0</v>
      </c>
    </row>
    <row r="29" spans="1:19" ht="15.6" customHeight="1">
      <c r="A29" s="25">
        <v>17</v>
      </c>
      <c r="B29" s="26"/>
      <c r="C29" s="27"/>
      <c r="D29" s="27"/>
      <c r="E29" s="71"/>
      <c r="F29" s="71"/>
      <c r="G29" s="71"/>
      <c r="H29" s="71"/>
      <c r="I29" s="55">
        <f t="shared" si="0"/>
        <v>0</v>
      </c>
      <c r="J29" s="1"/>
      <c r="K29" s="25">
        <v>17</v>
      </c>
      <c r="L29" s="26"/>
      <c r="M29" s="27"/>
      <c r="N29" s="27"/>
      <c r="O29" s="71"/>
      <c r="P29" s="71"/>
      <c r="Q29" s="71"/>
      <c r="R29" s="71"/>
      <c r="S29" s="55">
        <f t="shared" si="1"/>
        <v>0</v>
      </c>
    </row>
    <row r="30" spans="1:19" ht="15.6" customHeight="1">
      <c r="A30" s="25">
        <v>18</v>
      </c>
      <c r="B30" s="26"/>
      <c r="C30" s="27"/>
      <c r="D30" s="27"/>
      <c r="E30" s="71"/>
      <c r="F30" s="71"/>
      <c r="G30" s="71"/>
      <c r="H30" s="71"/>
      <c r="I30" s="55">
        <f t="shared" si="0"/>
        <v>0</v>
      </c>
      <c r="J30" s="1"/>
      <c r="K30" s="25">
        <v>18</v>
      </c>
      <c r="L30" s="26"/>
      <c r="M30" s="27"/>
      <c r="N30" s="27"/>
      <c r="O30" s="71"/>
      <c r="P30" s="71"/>
      <c r="Q30" s="71"/>
      <c r="R30" s="71"/>
      <c r="S30" s="55">
        <f t="shared" si="1"/>
        <v>0</v>
      </c>
    </row>
    <row r="31" spans="1:19" ht="15.6" customHeight="1">
      <c r="A31" s="25">
        <v>19</v>
      </c>
      <c r="B31" s="26"/>
      <c r="C31" s="27"/>
      <c r="D31" s="27"/>
      <c r="E31" s="71"/>
      <c r="F31" s="71"/>
      <c r="G31" s="71"/>
      <c r="H31" s="71"/>
      <c r="I31" s="55">
        <f t="shared" si="0"/>
        <v>0</v>
      </c>
      <c r="J31" s="1"/>
      <c r="K31" s="25">
        <v>19</v>
      </c>
      <c r="L31" s="26"/>
      <c r="M31" s="27"/>
      <c r="N31" s="27"/>
      <c r="O31" s="71"/>
      <c r="P31" s="71"/>
      <c r="Q31" s="71"/>
      <c r="R31" s="71"/>
      <c r="S31" s="55">
        <f t="shared" si="1"/>
        <v>0</v>
      </c>
    </row>
    <row r="32" spans="1:19" ht="15.6" customHeight="1">
      <c r="A32" s="25">
        <v>20</v>
      </c>
      <c r="B32" s="26"/>
      <c r="C32" s="27"/>
      <c r="D32" s="27"/>
      <c r="E32" s="71"/>
      <c r="F32" s="71"/>
      <c r="G32" s="71"/>
      <c r="H32" s="71"/>
      <c r="I32" s="55">
        <f t="shared" si="0"/>
        <v>0</v>
      </c>
      <c r="J32" s="1"/>
      <c r="K32" s="25">
        <v>20</v>
      </c>
      <c r="L32" s="26"/>
      <c r="M32" s="27"/>
      <c r="N32" s="27"/>
      <c r="O32" s="71"/>
      <c r="P32" s="71"/>
      <c r="Q32" s="71"/>
      <c r="R32" s="71"/>
      <c r="S32" s="55">
        <f t="shared" si="1"/>
        <v>0</v>
      </c>
    </row>
    <row r="33" spans="1:19" ht="15.6" customHeight="1">
      <c r="A33" s="25">
        <v>21</v>
      </c>
      <c r="B33" s="26"/>
      <c r="C33" s="27"/>
      <c r="D33" s="27"/>
      <c r="E33" s="71"/>
      <c r="F33" s="71"/>
      <c r="G33" s="71"/>
      <c r="H33" s="71"/>
      <c r="I33" s="55">
        <f t="shared" si="0"/>
        <v>0</v>
      </c>
      <c r="J33" s="1"/>
      <c r="K33" s="25">
        <v>21</v>
      </c>
      <c r="L33" s="26"/>
      <c r="M33" s="27"/>
      <c r="N33" s="27"/>
      <c r="O33" s="71"/>
      <c r="P33" s="71"/>
      <c r="Q33" s="71"/>
      <c r="R33" s="71"/>
      <c r="S33" s="55">
        <f t="shared" si="1"/>
        <v>0</v>
      </c>
    </row>
    <row r="34" spans="1:19" ht="15.6" customHeight="1">
      <c r="A34" s="25">
        <v>22</v>
      </c>
      <c r="B34" s="26"/>
      <c r="C34" s="27"/>
      <c r="D34" s="27"/>
      <c r="E34" s="71"/>
      <c r="F34" s="71"/>
      <c r="G34" s="71"/>
      <c r="H34" s="71"/>
      <c r="I34" s="55">
        <f t="shared" si="0"/>
        <v>0</v>
      </c>
      <c r="J34" s="1"/>
      <c r="K34" s="25">
        <v>22</v>
      </c>
      <c r="L34" s="26"/>
      <c r="M34" s="27"/>
      <c r="N34" s="27"/>
      <c r="O34" s="71"/>
      <c r="P34" s="71"/>
      <c r="Q34" s="71"/>
      <c r="R34" s="71"/>
      <c r="S34" s="55">
        <f t="shared" si="1"/>
        <v>0</v>
      </c>
    </row>
    <row r="35" spans="1:19" ht="14.25" customHeight="1">
      <c r="A35" s="133" t="s">
        <v>11</v>
      </c>
      <c r="B35" s="134"/>
      <c r="C35" s="134"/>
      <c r="D35" s="70">
        <f>IF((G35=0),0,"1")</f>
        <v>0</v>
      </c>
      <c r="E35" s="16"/>
      <c r="F35" s="16"/>
      <c r="G35" s="17">
        <f>SUM(D13:D34)</f>
        <v>0</v>
      </c>
      <c r="H35" s="24" t="s">
        <v>15</v>
      </c>
      <c r="I35" s="18">
        <f>SUM(I13:I34)</f>
        <v>0</v>
      </c>
      <c r="J35" s="1"/>
      <c r="K35" s="133" t="s">
        <v>11</v>
      </c>
      <c r="L35" s="134"/>
      <c r="M35" s="134"/>
      <c r="N35" s="70">
        <f>IF((Q35=0),0,"1")</f>
        <v>0</v>
      </c>
      <c r="O35" s="16"/>
      <c r="P35" s="16"/>
      <c r="Q35" s="17">
        <f>SUM(N13:N34)</f>
        <v>0</v>
      </c>
      <c r="R35" s="24" t="s">
        <v>7</v>
      </c>
      <c r="S35" s="18">
        <f>SUM(S13:S34)</f>
        <v>0</v>
      </c>
    </row>
    <row r="36" spans="1:19" ht="15" customHeight="1">
      <c r="A36" s="2"/>
      <c r="B36" s="8"/>
      <c r="C36" s="3"/>
      <c r="D36" s="6"/>
      <c r="E36" s="7"/>
      <c r="F36" s="7"/>
      <c r="G36" s="7"/>
      <c r="H36" s="7"/>
      <c r="I36" s="6"/>
      <c r="J36" s="1"/>
      <c r="K36" s="1"/>
      <c r="L36" s="4"/>
      <c r="M36" s="5"/>
      <c r="N36" s="6"/>
      <c r="O36" s="7"/>
      <c r="P36" s="7"/>
      <c r="Q36" s="7"/>
      <c r="R36" s="7"/>
      <c r="S36" s="6"/>
    </row>
    <row r="37" spans="1:19" ht="14.25" customHeight="1">
      <c r="A37" s="129" t="str">
        <f>B5</f>
        <v>浅啡网</v>
      </c>
      <c r="B37" s="130"/>
      <c r="C37" s="130"/>
      <c r="D37" s="130"/>
      <c r="E37" s="131"/>
      <c r="F37" s="131"/>
      <c r="G37" s="131"/>
      <c r="H37" s="131"/>
      <c r="I37" s="132"/>
      <c r="J37" s="1"/>
      <c r="K37" s="129" t="str">
        <f>B5</f>
        <v>浅啡网</v>
      </c>
      <c r="L37" s="130"/>
      <c r="M37" s="130"/>
      <c r="N37" s="130"/>
      <c r="O37" s="131"/>
      <c r="P37" s="131"/>
      <c r="Q37" s="131"/>
      <c r="R37" s="131"/>
      <c r="S37" s="132"/>
    </row>
    <row r="38" spans="1:19" s="63" customFormat="1" ht="14.25" customHeight="1">
      <c r="A38" s="56" t="s">
        <v>8</v>
      </c>
      <c r="B38" s="141" t="s">
        <v>1</v>
      </c>
      <c r="C38" s="140"/>
      <c r="D38" s="140"/>
      <c r="E38" s="140" t="s">
        <v>2</v>
      </c>
      <c r="F38" s="140"/>
      <c r="G38" s="140"/>
      <c r="H38" s="140"/>
      <c r="I38" s="57"/>
      <c r="J38" s="62"/>
      <c r="K38" s="56" t="s">
        <v>8</v>
      </c>
      <c r="L38" s="141" t="s">
        <v>1</v>
      </c>
      <c r="M38" s="140"/>
      <c r="N38" s="140"/>
      <c r="O38" s="140" t="s">
        <v>2</v>
      </c>
      <c r="P38" s="140"/>
      <c r="Q38" s="140"/>
      <c r="R38" s="140"/>
      <c r="S38" s="57"/>
    </row>
    <row r="39" spans="1:19">
      <c r="A39" s="11"/>
      <c r="B39" s="19" t="s">
        <v>52</v>
      </c>
      <c r="C39" s="20" t="s">
        <v>0</v>
      </c>
      <c r="D39" s="21" t="s">
        <v>60</v>
      </c>
      <c r="E39" s="22" t="s">
        <v>3</v>
      </c>
      <c r="F39" s="22" t="s">
        <v>4</v>
      </c>
      <c r="G39" s="22" t="s">
        <v>5</v>
      </c>
      <c r="H39" s="22" t="s">
        <v>6</v>
      </c>
      <c r="I39" s="23" t="s">
        <v>9</v>
      </c>
      <c r="J39" s="1"/>
      <c r="K39" s="11"/>
      <c r="L39" s="19" t="s">
        <v>52</v>
      </c>
      <c r="M39" s="20" t="s">
        <v>0</v>
      </c>
      <c r="N39" s="21" t="s">
        <v>60</v>
      </c>
      <c r="O39" s="22" t="s">
        <v>3</v>
      </c>
      <c r="P39" s="22" t="s">
        <v>4</v>
      </c>
      <c r="Q39" s="22" t="s">
        <v>5</v>
      </c>
      <c r="R39" s="22" t="s">
        <v>6</v>
      </c>
      <c r="S39" s="23" t="s">
        <v>9</v>
      </c>
    </row>
    <row r="40" spans="1:19" ht="15.6" customHeight="1">
      <c r="A40" s="25">
        <v>1</v>
      </c>
      <c r="B40" s="26"/>
      <c r="C40" s="27"/>
      <c r="D40" s="27"/>
      <c r="E40" s="71"/>
      <c r="F40" s="71"/>
      <c r="G40" s="71"/>
      <c r="H40" s="71"/>
      <c r="I40" s="55">
        <f t="shared" ref="I40:I61" si="2">ROUND((B40*C40*D40)*0.0001-(E40*F40*D40/2)*0.0001-(G40*H40*D40/2)*0.0001,2)</f>
        <v>0</v>
      </c>
      <c r="J40" s="1"/>
      <c r="K40" s="25">
        <v>1</v>
      </c>
      <c r="L40" s="26"/>
      <c r="M40" s="27"/>
      <c r="N40" s="27"/>
      <c r="O40" s="71"/>
      <c r="P40" s="71"/>
      <c r="Q40" s="71"/>
      <c r="R40" s="71"/>
      <c r="S40" s="55">
        <f t="shared" ref="S40:S61" si="3">ROUND((L40*M40*N40)*0.0001-(O40*P40*N40/2)*0.0001-(Q40*R40*N40/2)*0.0001,2)</f>
        <v>0</v>
      </c>
    </row>
    <row r="41" spans="1:19" ht="15.6" customHeight="1">
      <c r="A41" s="25">
        <v>2</v>
      </c>
      <c r="B41" s="26"/>
      <c r="C41" s="27"/>
      <c r="D41" s="27"/>
      <c r="E41" s="71"/>
      <c r="F41" s="71"/>
      <c r="G41" s="71"/>
      <c r="H41" s="71"/>
      <c r="I41" s="55">
        <f t="shared" si="2"/>
        <v>0</v>
      </c>
      <c r="J41" s="1"/>
      <c r="K41" s="25">
        <v>2</v>
      </c>
      <c r="L41" s="26"/>
      <c r="M41" s="27"/>
      <c r="N41" s="27"/>
      <c r="O41" s="71"/>
      <c r="P41" s="71"/>
      <c r="Q41" s="71"/>
      <c r="R41" s="71"/>
      <c r="S41" s="55">
        <f t="shared" si="3"/>
        <v>0</v>
      </c>
    </row>
    <row r="42" spans="1:19" ht="15.6" customHeight="1">
      <c r="A42" s="25">
        <v>3</v>
      </c>
      <c r="B42" s="26"/>
      <c r="C42" s="27"/>
      <c r="D42" s="27"/>
      <c r="E42" s="71"/>
      <c r="F42" s="71"/>
      <c r="G42" s="71"/>
      <c r="H42" s="71"/>
      <c r="I42" s="55">
        <f t="shared" si="2"/>
        <v>0</v>
      </c>
      <c r="J42" s="1"/>
      <c r="K42" s="25">
        <v>3</v>
      </c>
      <c r="L42" s="26"/>
      <c r="M42" s="27"/>
      <c r="N42" s="27"/>
      <c r="O42" s="71"/>
      <c r="P42" s="71"/>
      <c r="Q42" s="71"/>
      <c r="R42" s="71"/>
      <c r="S42" s="55">
        <f t="shared" si="3"/>
        <v>0</v>
      </c>
    </row>
    <row r="43" spans="1:19" ht="15.6" customHeight="1">
      <c r="A43" s="25">
        <v>4</v>
      </c>
      <c r="B43" s="26"/>
      <c r="C43" s="27"/>
      <c r="D43" s="27"/>
      <c r="E43" s="71"/>
      <c r="F43" s="71"/>
      <c r="G43" s="71"/>
      <c r="H43" s="71"/>
      <c r="I43" s="55">
        <f t="shared" si="2"/>
        <v>0</v>
      </c>
      <c r="J43" s="1"/>
      <c r="K43" s="25">
        <v>4</v>
      </c>
      <c r="L43" s="26"/>
      <c r="M43" s="27"/>
      <c r="N43" s="27"/>
      <c r="O43" s="71"/>
      <c r="P43" s="71"/>
      <c r="Q43" s="71"/>
      <c r="R43" s="71"/>
      <c r="S43" s="55">
        <f t="shared" si="3"/>
        <v>0</v>
      </c>
    </row>
    <row r="44" spans="1:19" ht="15.6" customHeight="1">
      <c r="A44" s="25">
        <v>5</v>
      </c>
      <c r="B44" s="26"/>
      <c r="C44" s="27"/>
      <c r="D44" s="27"/>
      <c r="E44" s="71"/>
      <c r="F44" s="71"/>
      <c r="G44" s="71"/>
      <c r="H44" s="71"/>
      <c r="I44" s="55">
        <f t="shared" si="2"/>
        <v>0</v>
      </c>
      <c r="J44" s="1"/>
      <c r="K44" s="25">
        <v>5</v>
      </c>
      <c r="L44" s="26"/>
      <c r="M44" s="27"/>
      <c r="N44" s="27"/>
      <c r="O44" s="71"/>
      <c r="P44" s="71"/>
      <c r="Q44" s="71"/>
      <c r="R44" s="71"/>
      <c r="S44" s="55">
        <f t="shared" si="3"/>
        <v>0</v>
      </c>
    </row>
    <row r="45" spans="1:19" ht="15.6" customHeight="1">
      <c r="A45" s="25">
        <v>6</v>
      </c>
      <c r="B45" s="26"/>
      <c r="C45" s="27"/>
      <c r="D45" s="27"/>
      <c r="E45" s="71"/>
      <c r="F45" s="71"/>
      <c r="G45" s="71"/>
      <c r="H45" s="71"/>
      <c r="I45" s="55">
        <f t="shared" si="2"/>
        <v>0</v>
      </c>
      <c r="J45" s="1"/>
      <c r="K45" s="25">
        <v>6</v>
      </c>
      <c r="L45" s="26"/>
      <c r="M45" s="27"/>
      <c r="N45" s="27"/>
      <c r="O45" s="71"/>
      <c r="P45" s="71"/>
      <c r="Q45" s="71"/>
      <c r="R45" s="71"/>
      <c r="S45" s="55">
        <f t="shared" si="3"/>
        <v>0</v>
      </c>
    </row>
    <row r="46" spans="1:19" ht="15.6" customHeight="1">
      <c r="A46" s="25">
        <v>7</v>
      </c>
      <c r="B46" s="26"/>
      <c r="C46" s="27"/>
      <c r="D46" s="27"/>
      <c r="E46" s="71"/>
      <c r="F46" s="71"/>
      <c r="G46" s="71"/>
      <c r="H46" s="71"/>
      <c r="I46" s="55">
        <f t="shared" si="2"/>
        <v>0</v>
      </c>
      <c r="J46" s="1"/>
      <c r="K46" s="25">
        <v>7</v>
      </c>
      <c r="L46" s="26"/>
      <c r="M46" s="27"/>
      <c r="N46" s="27"/>
      <c r="O46" s="71"/>
      <c r="P46" s="71"/>
      <c r="Q46" s="71"/>
      <c r="R46" s="71"/>
      <c r="S46" s="55">
        <f t="shared" si="3"/>
        <v>0</v>
      </c>
    </row>
    <row r="47" spans="1:19" ht="15.6" customHeight="1">
      <c r="A47" s="25">
        <v>8</v>
      </c>
      <c r="B47" s="26"/>
      <c r="C47" s="27"/>
      <c r="D47" s="27"/>
      <c r="E47" s="71"/>
      <c r="F47" s="71"/>
      <c r="G47" s="71"/>
      <c r="H47" s="71"/>
      <c r="I47" s="55">
        <f t="shared" si="2"/>
        <v>0</v>
      </c>
      <c r="J47" s="1"/>
      <c r="K47" s="25">
        <v>8</v>
      </c>
      <c r="L47" s="26"/>
      <c r="M47" s="27"/>
      <c r="N47" s="27"/>
      <c r="O47" s="71"/>
      <c r="P47" s="71"/>
      <c r="Q47" s="71"/>
      <c r="R47" s="71"/>
      <c r="S47" s="55">
        <f t="shared" si="3"/>
        <v>0</v>
      </c>
    </row>
    <row r="48" spans="1:19" ht="15.6" customHeight="1">
      <c r="A48" s="25">
        <v>9</v>
      </c>
      <c r="B48" s="26"/>
      <c r="C48" s="27"/>
      <c r="D48" s="27"/>
      <c r="E48" s="71"/>
      <c r="F48" s="71"/>
      <c r="G48" s="71"/>
      <c r="H48" s="71"/>
      <c r="I48" s="55">
        <f t="shared" si="2"/>
        <v>0</v>
      </c>
      <c r="J48" s="1"/>
      <c r="K48" s="25">
        <v>9</v>
      </c>
      <c r="L48" s="26"/>
      <c r="M48" s="27"/>
      <c r="N48" s="27"/>
      <c r="O48" s="71"/>
      <c r="P48" s="71"/>
      <c r="Q48" s="71"/>
      <c r="R48" s="71"/>
      <c r="S48" s="55">
        <f t="shared" si="3"/>
        <v>0</v>
      </c>
    </row>
    <row r="49" spans="1:19" ht="15.6" customHeight="1">
      <c r="A49" s="25">
        <v>10</v>
      </c>
      <c r="B49" s="26"/>
      <c r="C49" s="27"/>
      <c r="D49" s="27"/>
      <c r="E49" s="71"/>
      <c r="F49" s="71"/>
      <c r="G49" s="71"/>
      <c r="H49" s="71"/>
      <c r="I49" s="55">
        <f t="shared" si="2"/>
        <v>0</v>
      </c>
      <c r="J49" s="1"/>
      <c r="K49" s="25">
        <v>10</v>
      </c>
      <c r="L49" s="26"/>
      <c r="M49" s="27"/>
      <c r="N49" s="27"/>
      <c r="O49" s="71"/>
      <c r="P49" s="71"/>
      <c r="Q49" s="71"/>
      <c r="R49" s="71"/>
      <c r="S49" s="55">
        <f t="shared" si="3"/>
        <v>0</v>
      </c>
    </row>
    <row r="50" spans="1:19" ht="15.6" customHeight="1">
      <c r="A50" s="25">
        <v>11</v>
      </c>
      <c r="B50" s="26"/>
      <c r="C50" s="27"/>
      <c r="D50" s="27"/>
      <c r="E50" s="71"/>
      <c r="F50" s="71"/>
      <c r="G50" s="71"/>
      <c r="H50" s="71"/>
      <c r="I50" s="55">
        <f t="shared" si="2"/>
        <v>0</v>
      </c>
      <c r="J50" s="1"/>
      <c r="K50" s="25">
        <v>11</v>
      </c>
      <c r="L50" s="26"/>
      <c r="M50" s="27"/>
      <c r="N50" s="27"/>
      <c r="O50" s="71"/>
      <c r="P50" s="71"/>
      <c r="Q50" s="71"/>
      <c r="R50" s="71"/>
      <c r="S50" s="55">
        <f t="shared" si="3"/>
        <v>0</v>
      </c>
    </row>
    <row r="51" spans="1:19" ht="15.6" customHeight="1">
      <c r="A51" s="25">
        <v>12</v>
      </c>
      <c r="B51" s="26"/>
      <c r="C51" s="27"/>
      <c r="D51" s="27"/>
      <c r="E51" s="71"/>
      <c r="F51" s="71"/>
      <c r="G51" s="71"/>
      <c r="H51" s="71"/>
      <c r="I51" s="55">
        <f t="shared" si="2"/>
        <v>0</v>
      </c>
      <c r="J51" s="1"/>
      <c r="K51" s="25">
        <v>12</v>
      </c>
      <c r="L51" s="26"/>
      <c r="M51" s="27"/>
      <c r="N51" s="27"/>
      <c r="O51" s="71"/>
      <c r="P51" s="71"/>
      <c r="Q51" s="71"/>
      <c r="R51" s="71"/>
      <c r="S51" s="55">
        <f t="shared" si="3"/>
        <v>0</v>
      </c>
    </row>
    <row r="52" spans="1:19" ht="15.6" customHeight="1">
      <c r="A52" s="25">
        <v>13</v>
      </c>
      <c r="B52" s="26"/>
      <c r="C52" s="27"/>
      <c r="D52" s="27"/>
      <c r="E52" s="71"/>
      <c r="F52" s="71"/>
      <c r="G52" s="71"/>
      <c r="H52" s="71"/>
      <c r="I52" s="55">
        <f t="shared" si="2"/>
        <v>0</v>
      </c>
      <c r="J52" s="1"/>
      <c r="K52" s="25">
        <v>13</v>
      </c>
      <c r="L52" s="26"/>
      <c r="M52" s="27"/>
      <c r="N52" s="27"/>
      <c r="O52" s="71"/>
      <c r="P52" s="71"/>
      <c r="Q52" s="71"/>
      <c r="R52" s="71"/>
      <c r="S52" s="55">
        <f t="shared" si="3"/>
        <v>0</v>
      </c>
    </row>
    <row r="53" spans="1:19" ht="15.6" customHeight="1">
      <c r="A53" s="25">
        <v>14</v>
      </c>
      <c r="B53" s="26"/>
      <c r="C53" s="27"/>
      <c r="D53" s="27"/>
      <c r="E53" s="71"/>
      <c r="F53" s="71"/>
      <c r="G53" s="71"/>
      <c r="H53" s="71"/>
      <c r="I53" s="55">
        <f t="shared" si="2"/>
        <v>0</v>
      </c>
      <c r="J53" s="1"/>
      <c r="K53" s="25">
        <v>14</v>
      </c>
      <c r="L53" s="26"/>
      <c r="M53" s="27"/>
      <c r="N53" s="27"/>
      <c r="O53" s="71"/>
      <c r="P53" s="71"/>
      <c r="Q53" s="71"/>
      <c r="R53" s="71"/>
      <c r="S53" s="55">
        <f t="shared" si="3"/>
        <v>0</v>
      </c>
    </row>
    <row r="54" spans="1:19" ht="15.6" customHeight="1">
      <c r="A54" s="25">
        <v>15</v>
      </c>
      <c r="B54" s="26"/>
      <c r="C54" s="27"/>
      <c r="D54" s="27"/>
      <c r="E54" s="71"/>
      <c r="F54" s="71"/>
      <c r="G54" s="71"/>
      <c r="H54" s="71"/>
      <c r="I54" s="55">
        <f t="shared" si="2"/>
        <v>0</v>
      </c>
      <c r="J54" s="1"/>
      <c r="K54" s="25">
        <v>15</v>
      </c>
      <c r="L54" s="26"/>
      <c r="M54" s="27"/>
      <c r="N54" s="27"/>
      <c r="O54" s="71"/>
      <c r="P54" s="71"/>
      <c r="Q54" s="71"/>
      <c r="R54" s="71"/>
      <c r="S54" s="55">
        <f t="shared" si="3"/>
        <v>0</v>
      </c>
    </row>
    <row r="55" spans="1:19" ht="15.6" customHeight="1">
      <c r="A55" s="25">
        <v>16</v>
      </c>
      <c r="B55" s="26"/>
      <c r="C55" s="27"/>
      <c r="D55" s="27"/>
      <c r="E55" s="71"/>
      <c r="F55" s="71"/>
      <c r="G55" s="71"/>
      <c r="H55" s="71"/>
      <c r="I55" s="55">
        <f t="shared" si="2"/>
        <v>0</v>
      </c>
      <c r="J55" s="1"/>
      <c r="K55" s="25">
        <v>16</v>
      </c>
      <c r="L55" s="26"/>
      <c r="M55" s="27"/>
      <c r="N55" s="27"/>
      <c r="O55" s="71"/>
      <c r="P55" s="71"/>
      <c r="Q55" s="71"/>
      <c r="R55" s="71"/>
      <c r="S55" s="55">
        <f t="shared" si="3"/>
        <v>0</v>
      </c>
    </row>
    <row r="56" spans="1:19" ht="15.6" customHeight="1">
      <c r="A56" s="25">
        <v>17</v>
      </c>
      <c r="B56" s="26"/>
      <c r="C56" s="27"/>
      <c r="D56" s="27"/>
      <c r="E56" s="71"/>
      <c r="F56" s="71"/>
      <c r="G56" s="71"/>
      <c r="H56" s="71"/>
      <c r="I56" s="55">
        <f t="shared" si="2"/>
        <v>0</v>
      </c>
      <c r="J56" s="1"/>
      <c r="K56" s="25">
        <v>17</v>
      </c>
      <c r="L56" s="26"/>
      <c r="M56" s="27"/>
      <c r="N56" s="27"/>
      <c r="O56" s="71"/>
      <c r="P56" s="71"/>
      <c r="Q56" s="71"/>
      <c r="R56" s="71"/>
      <c r="S56" s="55">
        <f t="shared" si="3"/>
        <v>0</v>
      </c>
    </row>
    <row r="57" spans="1:19" ht="15.6" customHeight="1">
      <c r="A57" s="25">
        <v>18</v>
      </c>
      <c r="B57" s="26"/>
      <c r="C57" s="27"/>
      <c r="D57" s="27"/>
      <c r="E57" s="71"/>
      <c r="F57" s="71"/>
      <c r="G57" s="71"/>
      <c r="H57" s="71"/>
      <c r="I57" s="55">
        <f t="shared" si="2"/>
        <v>0</v>
      </c>
      <c r="J57" s="1"/>
      <c r="K57" s="25">
        <v>18</v>
      </c>
      <c r="L57" s="26"/>
      <c r="M57" s="27"/>
      <c r="N57" s="27"/>
      <c r="O57" s="71"/>
      <c r="P57" s="71"/>
      <c r="Q57" s="71"/>
      <c r="R57" s="71"/>
      <c r="S57" s="55">
        <f t="shared" si="3"/>
        <v>0</v>
      </c>
    </row>
    <row r="58" spans="1:19" ht="15.6" customHeight="1">
      <c r="A58" s="25">
        <v>19</v>
      </c>
      <c r="B58" s="26"/>
      <c r="C58" s="27"/>
      <c r="D58" s="27"/>
      <c r="E58" s="71"/>
      <c r="F58" s="71"/>
      <c r="G58" s="71"/>
      <c r="H58" s="71"/>
      <c r="I58" s="55">
        <f t="shared" si="2"/>
        <v>0</v>
      </c>
      <c r="J58" s="1"/>
      <c r="K58" s="25">
        <v>19</v>
      </c>
      <c r="L58" s="26"/>
      <c r="M58" s="27"/>
      <c r="N58" s="27"/>
      <c r="O58" s="71"/>
      <c r="P58" s="71"/>
      <c r="Q58" s="71"/>
      <c r="R58" s="71"/>
      <c r="S58" s="55">
        <f t="shared" si="3"/>
        <v>0</v>
      </c>
    </row>
    <row r="59" spans="1:19" ht="15.6" customHeight="1">
      <c r="A59" s="25">
        <v>20</v>
      </c>
      <c r="B59" s="26"/>
      <c r="C59" s="27"/>
      <c r="D59" s="27"/>
      <c r="E59" s="71"/>
      <c r="F59" s="71"/>
      <c r="G59" s="71"/>
      <c r="H59" s="71"/>
      <c r="I59" s="55">
        <f t="shared" si="2"/>
        <v>0</v>
      </c>
      <c r="J59" s="1"/>
      <c r="K59" s="25">
        <v>20</v>
      </c>
      <c r="L59" s="26"/>
      <c r="M59" s="27"/>
      <c r="N59" s="27"/>
      <c r="O59" s="71"/>
      <c r="P59" s="71"/>
      <c r="Q59" s="71"/>
      <c r="R59" s="71"/>
      <c r="S59" s="55">
        <f t="shared" si="3"/>
        <v>0</v>
      </c>
    </row>
    <row r="60" spans="1:19" ht="15.6" customHeight="1">
      <c r="A60" s="25">
        <v>21</v>
      </c>
      <c r="B60" s="26"/>
      <c r="C60" s="27"/>
      <c r="D60" s="27"/>
      <c r="E60" s="71"/>
      <c r="F60" s="71"/>
      <c r="G60" s="71"/>
      <c r="H60" s="71"/>
      <c r="I60" s="55">
        <f t="shared" si="2"/>
        <v>0</v>
      </c>
      <c r="J60" s="1"/>
      <c r="K60" s="25">
        <v>21</v>
      </c>
      <c r="L60" s="26"/>
      <c r="M60" s="27"/>
      <c r="N60" s="27"/>
      <c r="O60" s="71"/>
      <c r="P60" s="71"/>
      <c r="Q60" s="71"/>
      <c r="R60" s="71"/>
      <c r="S60" s="55">
        <f t="shared" si="3"/>
        <v>0</v>
      </c>
    </row>
    <row r="61" spans="1:19" ht="15.6" customHeight="1">
      <c r="A61" s="25">
        <v>22</v>
      </c>
      <c r="B61" s="26"/>
      <c r="C61" s="27"/>
      <c r="D61" s="27"/>
      <c r="E61" s="71"/>
      <c r="F61" s="71"/>
      <c r="G61" s="71"/>
      <c r="H61" s="71"/>
      <c r="I61" s="55">
        <f t="shared" si="2"/>
        <v>0</v>
      </c>
      <c r="J61" s="1"/>
      <c r="K61" s="25">
        <v>22</v>
      </c>
      <c r="L61" s="26"/>
      <c r="M61" s="27"/>
      <c r="N61" s="27"/>
      <c r="O61" s="71"/>
      <c r="P61" s="71"/>
      <c r="Q61" s="71"/>
      <c r="R61" s="71"/>
      <c r="S61" s="55">
        <f t="shared" si="3"/>
        <v>0</v>
      </c>
    </row>
    <row r="62" spans="1:19" ht="14.25" customHeight="1">
      <c r="A62" s="133" t="s">
        <v>11</v>
      </c>
      <c r="B62" s="134"/>
      <c r="C62" s="134"/>
      <c r="D62" s="69">
        <f>IF((G62=0),0,"1")</f>
        <v>0</v>
      </c>
      <c r="E62" s="28"/>
      <c r="F62" s="28"/>
      <c r="G62" s="17">
        <f>SUM(D40:D61)</f>
        <v>0</v>
      </c>
      <c r="H62" s="24" t="s">
        <v>15</v>
      </c>
      <c r="I62" s="18">
        <f>SUM(I40:I61)</f>
        <v>0</v>
      </c>
      <c r="J62" s="1"/>
      <c r="K62" s="133" t="s">
        <v>11</v>
      </c>
      <c r="L62" s="134"/>
      <c r="M62" s="134"/>
      <c r="N62" s="70">
        <f>IF((Q62=0),0,"1")</f>
        <v>0</v>
      </c>
      <c r="O62" s="16"/>
      <c r="P62" s="16"/>
      <c r="Q62" s="17">
        <f>SUM(N40:N61)</f>
        <v>0</v>
      </c>
      <c r="R62" s="24" t="s">
        <v>15</v>
      </c>
      <c r="S62" s="18">
        <f>SUM(S40:S61)</f>
        <v>0</v>
      </c>
    </row>
    <row r="63" spans="1:19" ht="15" customHeight="1">
      <c r="A63" s="29"/>
      <c r="B63" s="29"/>
      <c r="C63" s="29"/>
      <c r="D63" s="29"/>
      <c r="E63" s="29"/>
      <c r="F63" s="29"/>
      <c r="G63" s="29"/>
      <c r="H63" s="29"/>
      <c r="I63" s="29"/>
      <c r="J63" s="2"/>
      <c r="K63" s="2"/>
      <c r="L63" s="2"/>
      <c r="M63" s="2"/>
      <c r="N63" s="2"/>
    </row>
    <row r="64" spans="1:19" ht="14.25" customHeight="1">
      <c r="A64" s="125" t="str">
        <f>B5</f>
        <v>浅啡网</v>
      </c>
      <c r="B64" s="126"/>
      <c r="C64" s="126"/>
      <c r="D64" s="126"/>
      <c r="E64" s="127"/>
      <c r="F64" s="127"/>
      <c r="G64" s="127"/>
      <c r="H64" s="127"/>
      <c r="I64" s="128"/>
      <c r="J64" s="1"/>
      <c r="K64" s="129" t="str">
        <f>B5</f>
        <v>浅啡网</v>
      </c>
      <c r="L64" s="130"/>
      <c r="M64" s="130"/>
      <c r="N64" s="130"/>
      <c r="O64" s="131"/>
      <c r="P64" s="131"/>
      <c r="Q64" s="131"/>
      <c r="R64" s="131"/>
      <c r="S64" s="132"/>
    </row>
    <row r="65" spans="1:19" s="61" customFormat="1" ht="14.25" customHeight="1">
      <c r="A65" s="58" t="s">
        <v>8</v>
      </c>
      <c r="B65" s="135" t="s">
        <v>1</v>
      </c>
      <c r="C65" s="136"/>
      <c r="D65" s="136"/>
      <c r="E65" s="136" t="s">
        <v>2</v>
      </c>
      <c r="F65" s="136"/>
      <c r="G65" s="136"/>
      <c r="H65" s="136"/>
      <c r="I65" s="59"/>
      <c r="J65" s="60"/>
      <c r="K65" s="58" t="s">
        <v>8</v>
      </c>
      <c r="L65" s="135" t="s">
        <v>1</v>
      </c>
      <c r="M65" s="136"/>
      <c r="N65" s="136"/>
      <c r="O65" s="136" t="s">
        <v>2</v>
      </c>
      <c r="P65" s="136"/>
      <c r="Q65" s="136"/>
      <c r="R65" s="136"/>
      <c r="S65" s="59"/>
    </row>
    <row r="66" spans="1:19" s="35" customFormat="1">
      <c r="A66" s="33"/>
      <c r="B66" s="19" t="s">
        <v>52</v>
      </c>
      <c r="C66" s="20" t="s">
        <v>0</v>
      </c>
      <c r="D66" s="21" t="s">
        <v>60</v>
      </c>
      <c r="E66" s="22" t="s">
        <v>3</v>
      </c>
      <c r="F66" s="22" t="s">
        <v>4</v>
      </c>
      <c r="G66" s="22" t="s">
        <v>5</v>
      </c>
      <c r="H66" s="22" t="s">
        <v>6</v>
      </c>
      <c r="I66" s="23" t="s">
        <v>9</v>
      </c>
      <c r="J66" s="34"/>
      <c r="K66" s="33"/>
      <c r="L66" s="19" t="s">
        <v>52</v>
      </c>
      <c r="M66" s="20" t="s">
        <v>0</v>
      </c>
      <c r="N66" s="21" t="s">
        <v>60</v>
      </c>
      <c r="O66" s="22" t="s">
        <v>3</v>
      </c>
      <c r="P66" s="22" t="s">
        <v>4</v>
      </c>
      <c r="Q66" s="22" t="s">
        <v>5</v>
      </c>
      <c r="R66" s="22" t="s">
        <v>6</v>
      </c>
      <c r="S66" s="23" t="s">
        <v>9</v>
      </c>
    </row>
    <row r="67" spans="1:19" ht="15.6" customHeight="1">
      <c r="A67" s="25">
        <v>1</v>
      </c>
      <c r="B67" s="26"/>
      <c r="C67" s="27"/>
      <c r="D67" s="27"/>
      <c r="E67" s="71"/>
      <c r="F67" s="71"/>
      <c r="G67" s="71"/>
      <c r="H67" s="71"/>
      <c r="I67" s="55">
        <f t="shared" ref="I67:I88" si="4">ROUND((B67*C67*D67)*0.0001-(E67*F67*D67/2)*0.0001-(G67*H67*D67/2)*0.0001,2)</f>
        <v>0</v>
      </c>
      <c r="J67" s="1"/>
      <c r="K67" s="25">
        <v>1</v>
      </c>
      <c r="L67" s="26"/>
      <c r="M67" s="27"/>
      <c r="N67" s="27"/>
      <c r="O67" s="71"/>
      <c r="P67" s="71"/>
      <c r="Q67" s="71"/>
      <c r="R67" s="71"/>
      <c r="S67" s="55">
        <f t="shared" ref="S67:S88" si="5">ROUND((L67*M67*N67)*0.0001-(O67*P67*N67/2)*0.0001-(Q67*R67*N67/2)*0.0001,2)</f>
        <v>0</v>
      </c>
    </row>
    <row r="68" spans="1:19" ht="15.6" customHeight="1">
      <c r="A68" s="25">
        <v>2</v>
      </c>
      <c r="B68" s="26"/>
      <c r="C68" s="27"/>
      <c r="D68" s="27"/>
      <c r="E68" s="71"/>
      <c r="F68" s="71"/>
      <c r="G68" s="71"/>
      <c r="H68" s="71"/>
      <c r="I68" s="55">
        <f t="shared" si="4"/>
        <v>0</v>
      </c>
      <c r="J68" s="1"/>
      <c r="K68" s="25">
        <v>2</v>
      </c>
      <c r="L68" s="26"/>
      <c r="M68" s="27"/>
      <c r="N68" s="27"/>
      <c r="O68" s="71"/>
      <c r="P68" s="71"/>
      <c r="Q68" s="71"/>
      <c r="R68" s="71"/>
      <c r="S68" s="55">
        <f t="shared" si="5"/>
        <v>0</v>
      </c>
    </row>
    <row r="69" spans="1:19" ht="15.6" customHeight="1">
      <c r="A69" s="25">
        <v>3</v>
      </c>
      <c r="B69" s="26"/>
      <c r="C69" s="27"/>
      <c r="D69" s="27"/>
      <c r="E69" s="71"/>
      <c r="F69" s="71"/>
      <c r="G69" s="71"/>
      <c r="H69" s="71"/>
      <c r="I69" s="55">
        <f t="shared" si="4"/>
        <v>0</v>
      </c>
      <c r="J69" s="1"/>
      <c r="K69" s="25">
        <v>3</v>
      </c>
      <c r="L69" s="26"/>
      <c r="M69" s="27"/>
      <c r="N69" s="27"/>
      <c r="O69" s="71"/>
      <c r="P69" s="71"/>
      <c r="Q69" s="71"/>
      <c r="R69" s="71"/>
      <c r="S69" s="55">
        <f t="shared" si="5"/>
        <v>0</v>
      </c>
    </row>
    <row r="70" spans="1:19" ht="15.6" customHeight="1">
      <c r="A70" s="25">
        <v>4</v>
      </c>
      <c r="B70" s="26"/>
      <c r="C70" s="27"/>
      <c r="D70" s="27"/>
      <c r="E70" s="71"/>
      <c r="F70" s="71"/>
      <c r="G70" s="71"/>
      <c r="H70" s="71"/>
      <c r="I70" s="55">
        <f t="shared" si="4"/>
        <v>0</v>
      </c>
      <c r="J70" s="1"/>
      <c r="K70" s="25">
        <v>4</v>
      </c>
      <c r="L70" s="26"/>
      <c r="M70" s="27"/>
      <c r="N70" s="27"/>
      <c r="O70" s="71"/>
      <c r="P70" s="71"/>
      <c r="Q70" s="71"/>
      <c r="R70" s="71"/>
      <c r="S70" s="55">
        <f t="shared" si="5"/>
        <v>0</v>
      </c>
    </row>
    <row r="71" spans="1:19" ht="15.6" customHeight="1">
      <c r="A71" s="25">
        <v>5</v>
      </c>
      <c r="B71" s="26"/>
      <c r="C71" s="27"/>
      <c r="D71" s="27"/>
      <c r="E71" s="71"/>
      <c r="F71" s="71"/>
      <c r="G71" s="71"/>
      <c r="H71" s="71"/>
      <c r="I71" s="55">
        <f t="shared" si="4"/>
        <v>0</v>
      </c>
      <c r="J71" s="1"/>
      <c r="K71" s="25">
        <v>5</v>
      </c>
      <c r="L71" s="26"/>
      <c r="M71" s="27"/>
      <c r="N71" s="27"/>
      <c r="O71" s="71"/>
      <c r="P71" s="71"/>
      <c r="Q71" s="71"/>
      <c r="R71" s="71"/>
      <c r="S71" s="55">
        <f t="shared" si="5"/>
        <v>0</v>
      </c>
    </row>
    <row r="72" spans="1:19" ht="15.6" customHeight="1">
      <c r="A72" s="25">
        <v>6</v>
      </c>
      <c r="B72" s="26"/>
      <c r="C72" s="27"/>
      <c r="D72" s="27"/>
      <c r="E72" s="71"/>
      <c r="F72" s="71"/>
      <c r="G72" s="71"/>
      <c r="H72" s="71"/>
      <c r="I72" s="55">
        <f t="shared" si="4"/>
        <v>0</v>
      </c>
      <c r="J72" s="1"/>
      <c r="K72" s="25">
        <v>6</v>
      </c>
      <c r="L72" s="26"/>
      <c r="M72" s="27"/>
      <c r="N72" s="27"/>
      <c r="O72" s="71"/>
      <c r="P72" s="71"/>
      <c r="Q72" s="71"/>
      <c r="R72" s="71"/>
      <c r="S72" s="55">
        <f t="shared" si="5"/>
        <v>0</v>
      </c>
    </row>
    <row r="73" spans="1:19" ht="15.6" customHeight="1">
      <c r="A73" s="25">
        <v>7</v>
      </c>
      <c r="B73" s="26"/>
      <c r="C73" s="27"/>
      <c r="D73" s="27"/>
      <c r="E73" s="71"/>
      <c r="F73" s="71"/>
      <c r="G73" s="71"/>
      <c r="H73" s="71"/>
      <c r="I73" s="55">
        <f t="shared" si="4"/>
        <v>0</v>
      </c>
      <c r="J73" s="1"/>
      <c r="K73" s="25">
        <v>7</v>
      </c>
      <c r="L73" s="26"/>
      <c r="M73" s="27"/>
      <c r="N73" s="27"/>
      <c r="O73" s="71"/>
      <c r="P73" s="71"/>
      <c r="Q73" s="71"/>
      <c r="R73" s="71"/>
      <c r="S73" s="55">
        <f t="shared" si="5"/>
        <v>0</v>
      </c>
    </row>
    <row r="74" spans="1:19" ht="15.6" customHeight="1">
      <c r="A74" s="25">
        <v>8</v>
      </c>
      <c r="B74" s="26"/>
      <c r="C74" s="27"/>
      <c r="D74" s="27"/>
      <c r="E74" s="71"/>
      <c r="F74" s="71"/>
      <c r="G74" s="71"/>
      <c r="H74" s="71"/>
      <c r="I74" s="55">
        <f t="shared" si="4"/>
        <v>0</v>
      </c>
      <c r="J74" s="1"/>
      <c r="K74" s="25">
        <v>8</v>
      </c>
      <c r="L74" s="26"/>
      <c r="M74" s="27"/>
      <c r="N74" s="27"/>
      <c r="O74" s="71"/>
      <c r="P74" s="71"/>
      <c r="Q74" s="71"/>
      <c r="R74" s="71"/>
      <c r="S74" s="55">
        <f t="shared" si="5"/>
        <v>0</v>
      </c>
    </row>
    <row r="75" spans="1:19" ht="15.6" customHeight="1">
      <c r="A75" s="25">
        <v>9</v>
      </c>
      <c r="B75" s="26"/>
      <c r="C75" s="27"/>
      <c r="D75" s="27"/>
      <c r="E75" s="71"/>
      <c r="F75" s="71"/>
      <c r="G75" s="71"/>
      <c r="H75" s="71"/>
      <c r="I75" s="55">
        <f t="shared" si="4"/>
        <v>0</v>
      </c>
      <c r="J75" s="1"/>
      <c r="K75" s="25">
        <v>9</v>
      </c>
      <c r="L75" s="26"/>
      <c r="M75" s="27"/>
      <c r="N75" s="27"/>
      <c r="O75" s="71"/>
      <c r="P75" s="71"/>
      <c r="Q75" s="71"/>
      <c r="R75" s="71"/>
      <c r="S75" s="55">
        <f t="shared" si="5"/>
        <v>0</v>
      </c>
    </row>
    <row r="76" spans="1:19" ht="15.6" customHeight="1">
      <c r="A76" s="25">
        <v>10</v>
      </c>
      <c r="B76" s="26"/>
      <c r="C76" s="27"/>
      <c r="D76" s="27"/>
      <c r="E76" s="71"/>
      <c r="F76" s="71"/>
      <c r="G76" s="71"/>
      <c r="H76" s="71"/>
      <c r="I76" s="55">
        <f t="shared" si="4"/>
        <v>0</v>
      </c>
      <c r="J76" s="1"/>
      <c r="K76" s="25">
        <v>10</v>
      </c>
      <c r="L76" s="26"/>
      <c r="M76" s="27"/>
      <c r="N76" s="27"/>
      <c r="O76" s="71"/>
      <c r="P76" s="71"/>
      <c r="Q76" s="71"/>
      <c r="R76" s="71"/>
      <c r="S76" s="55">
        <f t="shared" si="5"/>
        <v>0</v>
      </c>
    </row>
    <row r="77" spans="1:19" ht="15.6" customHeight="1">
      <c r="A77" s="25">
        <v>11</v>
      </c>
      <c r="B77" s="26"/>
      <c r="C77" s="27"/>
      <c r="D77" s="27"/>
      <c r="E77" s="71"/>
      <c r="F77" s="71"/>
      <c r="G77" s="71"/>
      <c r="H77" s="71"/>
      <c r="I77" s="55">
        <f t="shared" si="4"/>
        <v>0</v>
      </c>
      <c r="J77" s="1"/>
      <c r="K77" s="25">
        <v>11</v>
      </c>
      <c r="L77" s="26"/>
      <c r="M77" s="27"/>
      <c r="N77" s="27"/>
      <c r="O77" s="71"/>
      <c r="P77" s="71"/>
      <c r="Q77" s="71"/>
      <c r="R77" s="71"/>
      <c r="S77" s="55">
        <f t="shared" si="5"/>
        <v>0</v>
      </c>
    </row>
    <row r="78" spans="1:19" ht="15.6" customHeight="1">
      <c r="A78" s="25">
        <v>12</v>
      </c>
      <c r="B78" s="26"/>
      <c r="C78" s="27"/>
      <c r="D78" s="27"/>
      <c r="E78" s="71"/>
      <c r="F78" s="71"/>
      <c r="G78" s="71"/>
      <c r="H78" s="71"/>
      <c r="I78" s="55">
        <f t="shared" si="4"/>
        <v>0</v>
      </c>
      <c r="J78" s="1"/>
      <c r="K78" s="25">
        <v>12</v>
      </c>
      <c r="L78" s="26"/>
      <c r="M78" s="27"/>
      <c r="N78" s="27"/>
      <c r="O78" s="71"/>
      <c r="P78" s="71"/>
      <c r="Q78" s="71"/>
      <c r="R78" s="71"/>
      <c r="S78" s="55">
        <f t="shared" si="5"/>
        <v>0</v>
      </c>
    </row>
    <row r="79" spans="1:19" ht="15.6" customHeight="1">
      <c r="A79" s="25">
        <v>13</v>
      </c>
      <c r="B79" s="26"/>
      <c r="C79" s="27"/>
      <c r="D79" s="27"/>
      <c r="E79" s="71"/>
      <c r="F79" s="71"/>
      <c r="G79" s="71"/>
      <c r="H79" s="71"/>
      <c r="I79" s="55">
        <f t="shared" si="4"/>
        <v>0</v>
      </c>
      <c r="J79" s="1"/>
      <c r="K79" s="25">
        <v>13</v>
      </c>
      <c r="L79" s="26"/>
      <c r="M79" s="27"/>
      <c r="N79" s="27"/>
      <c r="O79" s="71"/>
      <c r="P79" s="71"/>
      <c r="Q79" s="71"/>
      <c r="R79" s="71"/>
      <c r="S79" s="55">
        <f t="shared" si="5"/>
        <v>0</v>
      </c>
    </row>
    <row r="80" spans="1:19" ht="15.6" customHeight="1">
      <c r="A80" s="25">
        <v>14</v>
      </c>
      <c r="B80" s="26"/>
      <c r="C80" s="27"/>
      <c r="D80" s="27"/>
      <c r="E80" s="71"/>
      <c r="F80" s="71"/>
      <c r="G80" s="71"/>
      <c r="H80" s="71"/>
      <c r="I80" s="55">
        <f t="shared" si="4"/>
        <v>0</v>
      </c>
      <c r="J80" s="1"/>
      <c r="K80" s="25">
        <v>14</v>
      </c>
      <c r="L80" s="26"/>
      <c r="M80" s="27"/>
      <c r="N80" s="27"/>
      <c r="O80" s="71"/>
      <c r="P80" s="71"/>
      <c r="Q80" s="71"/>
      <c r="R80" s="71"/>
      <c r="S80" s="55">
        <f t="shared" si="5"/>
        <v>0</v>
      </c>
    </row>
    <row r="81" spans="1:19" ht="15.6" customHeight="1">
      <c r="A81" s="25">
        <v>15</v>
      </c>
      <c r="B81" s="26"/>
      <c r="C81" s="27"/>
      <c r="D81" s="27"/>
      <c r="E81" s="71"/>
      <c r="F81" s="71"/>
      <c r="G81" s="71"/>
      <c r="H81" s="71"/>
      <c r="I81" s="55">
        <f t="shared" si="4"/>
        <v>0</v>
      </c>
      <c r="J81" s="1"/>
      <c r="K81" s="25">
        <v>15</v>
      </c>
      <c r="L81" s="26"/>
      <c r="M81" s="27"/>
      <c r="N81" s="27"/>
      <c r="O81" s="71"/>
      <c r="P81" s="71"/>
      <c r="Q81" s="71"/>
      <c r="R81" s="71"/>
      <c r="S81" s="55">
        <f t="shared" si="5"/>
        <v>0</v>
      </c>
    </row>
    <row r="82" spans="1:19" ht="15.6" customHeight="1">
      <c r="A82" s="25">
        <v>16</v>
      </c>
      <c r="B82" s="26"/>
      <c r="C82" s="27"/>
      <c r="D82" s="27"/>
      <c r="E82" s="71"/>
      <c r="F82" s="71"/>
      <c r="G82" s="71"/>
      <c r="H82" s="71"/>
      <c r="I82" s="55">
        <f t="shared" si="4"/>
        <v>0</v>
      </c>
      <c r="J82" s="1"/>
      <c r="K82" s="25">
        <v>16</v>
      </c>
      <c r="L82" s="26"/>
      <c r="M82" s="27"/>
      <c r="N82" s="27"/>
      <c r="O82" s="71"/>
      <c r="P82" s="71"/>
      <c r="Q82" s="71"/>
      <c r="R82" s="71"/>
      <c r="S82" s="55">
        <f t="shared" si="5"/>
        <v>0</v>
      </c>
    </row>
    <row r="83" spans="1:19" ht="15.6" customHeight="1">
      <c r="A83" s="25">
        <v>17</v>
      </c>
      <c r="B83" s="26"/>
      <c r="C83" s="27"/>
      <c r="D83" s="27"/>
      <c r="E83" s="71"/>
      <c r="F83" s="71"/>
      <c r="G83" s="71"/>
      <c r="H83" s="71"/>
      <c r="I83" s="55">
        <f t="shared" si="4"/>
        <v>0</v>
      </c>
      <c r="J83" s="1"/>
      <c r="K83" s="25">
        <v>17</v>
      </c>
      <c r="L83" s="26"/>
      <c r="M83" s="27"/>
      <c r="N83" s="27"/>
      <c r="O83" s="71"/>
      <c r="P83" s="71"/>
      <c r="Q83" s="71"/>
      <c r="R83" s="71"/>
      <c r="S83" s="55">
        <f t="shared" si="5"/>
        <v>0</v>
      </c>
    </row>
    <row r="84" spans="1:19" ht="15.6" customHeight="1">
      <c r="A84" s="25">
        <v>18</v>
      </c>
      <c r="B84" s="26"/>
      <c r="C84" s="27"/>
      <c r="D84" s="27"/>
      <c r="E84" s="71"/>
      <c r="F84" s="71"/>
      <c r="G84" s="71"/>
      <c r="H84" s="71"/>
      <c r="I84" s="55">
        <f t="shared" si="4"/>
        <v>0</v>
      </c>
      <c r="J84" s="1"/>
      <c r="K84" s="25">
        <v>18</v>
      </c>
      <c r="L84" s="26"/>
      <c r="M84" s="27"/>
      <c r="N84" s="27"/>
      <c r="O84" s="71"/>
      <c r="P84" s="71"/>
      <c r="Q84" s="71"/>
      <c r="R84" s="71"/>
      <c r="S84" s="55">
        <f t="shared" si="5"/>
        <v>0</v>
      </c>
    </row>
    <row r="85" spans="1:19" ht="15.6" customHeight="1">
      <c r="A85" s="25">
        <v>19</v>
      </c>
      <c r="B85" s="26"/>
      <c r="C85" s="27"/>
      <c r="D85" s="27"/>
      <c r="E85" s="71"/>
      <c r="F85" s="71"/>
      <c r="G85" s="71"/>
      <c r="H85" s="71"/>
      <c r="I85" s="55">
        <f t="shared" si="4"/>
        <v>0</v>
      </c>
      <c r="J85" s="1"/>
      <c r="K85" s="25">
        <v>19</v>
      </c>
      <c r="L85" s="26"/>
      <c r="M85" s="27"/>
      <c r="N85" s="27"/>
      <c r="O85" s="71"/>
      <c r="P85" s="71"/>
      <c r="Q85" s="71"/>
      <c r="R85" s="71"/>
      <c r="S85" s="55">
        <f t="shared" si="5"/>
        <v>0</v>
      </c>
    </row>
    <row r="86" spans="1:19" ht="15.6" customHeight="1">
      <c r="A86" s="25">
        <v>20</v>
      </c>
      <c r="B86" s="26"/>
      <c r="C86" s="27"/>
      <c r="D86" s="27"/>
      <c r="E86" s="71"/>
      <c r="F86" s="71"/>
      <c r="G86" s="71"/>
      <c r="H86" s="71"/>
      <c r="I86" s="55">
        <f t="shared" si="4"/>
        <v>0</v>
      </c>
      <c r="J86" s="1"/>
      <c r="K86" s="25">
        <v>20</v>
      </c>
      <c r="L86" s="26"/>
      <c r="M86" s="27"/>
      <c r="N86" s="27"/>
      <c r="O86" s="71"/>
      <c r="P86" s="71"/>
      <c r="Q86" s="71"/>
      <c r="R86" s="71"/>
      <c r="S86" s="55">
        <f t="shared" si="5"/>
        <v>0</v>
      </c>
    </row>
    <row r="87" spans="1:19" ht="15.6" customHeight="1">
      <c r="A87" s="25">
        <v>21</v>
      </c>
      <c r="B87" s="26"/>
      <c r="C87" s="27"/>
      <c r="D87" s="27"/>
      <c r="E87" s="71"/>
      <c r="F87" s="71"/>
      <c r="G87" s="71"/>
      <c r="H87" s="71"/>
      <c r="I87" s="55">
        <f t="shared" si="4"/>
        <v>0</v>
      </c>
      <c r="J87" s="1"/>
      <c r="K87" s="25">
        <v>21</v>
      </c>
      <c r="L87" s="26"/>
      <c r="M87" s="27"/>
      <c r="N87" s="27"/>
      <c r="O87" s="71"/>
      <c r="P87" s="71"/>
      <c r="Q87" s="71"/>
      <c r="R87" s="71"/>
      <c r="S87" s="55">
        <f t="shared" si="5"/>
        <v>0</v>
      </c>
    </row>
    <row r="88" spans="1:19" ht="15.6" customHeight="1">
      <c r="A88" s="25">
        <v>22</v>
      </c>
      <c r="B88" s="26"/>
      <c r="C88" s="27"/>
      <c r="D88" s="27"/>
      <c r="E88" s="71"/>
      <c r="F88" s="71"/>
      <c r="G88" s="71"/>
      <c r="H88" s="71"/>
      <c r="I88" s="55">
        <f t="shared" si="4"/>
        <v>0</v>
      </c>
      <c r="J88" s="1"/>
      <c r="K88" s="25">
        <v>22</v>
      </c>
      <c r="L88" s="26"/>
      <c r="M88" s="27"/>
      <c r="N88" s="27"/>
      <c r="O88" s="71"/>
      <c r="P88" s="71"/>
      <c r="Q88" s="71"/>
      <c r="R88" s="71"/>
      <c r="S88" s="55">
        <f t="shared" si="5"/>
        <v>0</v>
      </c>
    </row>
    <row r="89" spans="1:19" ht="14.25" customHeight="1">
      <c r="A89" s="133" t="s">
        <v>11</v>
      </c>
      <c r="B89" s="134"/>
      <c r="C89" s="134"/>
      <c r="D89" s="70">
        <f>IF((G89=0),0,"1")</f>
        <v>0</v>
      </c>
      <c r="E89" s="16"/>
      <c r="F89" s="16"/>
      <c r="G89" s="17">
        <f>SUM(D67:D88)</f>
        <v>0</v>
      </c>
      <c r="H89" s="24" t="s">
        <v>15</v>
      </c>
      <c r="I89" s="18">
        <f>SUM(I67:I88)</f>
        <v>0</v>
      </c>
      <c r="J89" s="1"/>
      <c r="K89" s="133" t="s">
        <v>11</v>
      </c>
      <c r="L89" s="134"/>
      <c r="M89" s="134"/>
      <c r="N89" s="70">
        <f>IF((Q89=0),0,"1")</f>
        <v>0</v>
      </c>
      <c r="O89" s="16"/>
      <c r="P89" s="16"/>
      <c r="Q89" s="17">
        <f>SUM(N67:N88)</f>
        <v>0</v>
      </c>
      <c r="R89" s="24" t="s">
        <v>15</v>
      </c>
      <c r="S89" s="18">
        <f>SUM(S67:S88)</f>
        <v>0</v>
      </c>
    </row>
    <row r="90" spans="1:19" ht="15" customHeight="1"/>
    <row r="91" spans="1:19" ht="14.25" customHeight="1">
      <c r="A91" s="129" t="str">
        <f>B5</f>
        <v>浅啡网</v>
      </c>
      <c r="B91" s="130"/>
      <c r="C91" s="130"/>
      <c r="D91" s="130"/>
      <c r="E91" s="131"/>
      <c r="F91" s="131"/>
      <c r="G91" s="131"/>
      <c r="H91" s="131"/>
      <c r="I91" s="132"/>
      <c r="J91" s="1"/>
      <c r="K91" s="129" t="str">
        <f>B5</f>
        <v>浅啡网</v>
      </c>
      <c r="L91" s="130"/>
      <c r="M91" s="130"/>
      <c r="N91" s="130"/>
      <c r="O91" s="131"/>
      <c r="P91" s="131"/>
      <c r="Q91" s="131"/>
      <c r="R91" s="131"/>
      <c r="S91" s="132"/>
    </row>
    <row r="92" spans="1:19" s="63" customFormat="1" ht="14.25" customHeight="1">
      <c r="A92" s="56" t="s">
        <v>8</v>
      </c>
      <c r="B92" s="141" t="s">
        <v>1</v>
      </c>
      <c r="C92" s="140"/>
      <c r="D92" s="140"/>
      <c r="E92" s="140" t="s">
        <v>2</v>
      </c>
      <c r="F92" s="140"/>
      <c r="G92" s="140"/>
      <c r="H92" s="140"/>
      <c r="I92" s="57"/>
      <c r="J92" s="62"/>
      <c r="K92" s="56" t="s">
        <v>8</v>
      </c>
      <c r="L92" s="141" t="s">
        <v>1</v>
      </c>
      <c r="M92" s="140"/>
      <c r="N92" s="140"/>
      <c r="O92" s="140" t="s">
        <v>2</v>
      </c>
      <c r="P92" s="140"/>
      <c r="Q92" s="140"/>
      <c r="R92" s="140"/>
      <c r="S92" s="57"/>
    </row>
    <row r="93" spans="1:19">
      <c r="A93" s="11"/>
      <c r="B93" s="19" t="s">
        <v>52</v>
      </c>
      <c r="C93" s="20" t="s">
        <v>0</v>
      </c>
      <c r="D93" s="21" t="s">
        <v>60</v>
      </c>
      <c r="E93" s="22" t="s">
        <v>3</v>
      </c>
      <c r="F93" s="22" t="s">
        <v>4</v>
      </c>
      <c r="G93" s="22" t="s">
        <v>5</v>
      </c>
      <c r="H93" s="22" t="s">
        <v>6</v>
      </c>
      <c r="I93" s="23" t="s">
        <v>9</v>
      </c>
      <c r="J93" s="1"/>
      <c r="K93" s="11"/>
      <c r="L93" s="19" t="s">
        <v>52</v>
      </c>
      <c r="M93" s="20" t="s">
        <v>0</v>
      </c>
      <c r="N93" s="21" t="s">
        <v>60</v>
      </c>
      <c r="O93" s="22" t="s">
        <v>3</v>
      </c>
      <c r="P93" s="22" t="s">
        <v>4</v>
      </c>
      <c r="Q93" s="22" t="s">
        <v>5</v>
      </c>
      <c r="R93" s="22" t="s">
        <v>6</v>
      </c>
      <c r="S93" s="23" t="s">
        <v>9</v>
      </c>
    </row>
    <row r="94" spans="1:19" ht="15.6" customHeight="1">
      <c r="A94" s="25">
        <v>1</v>
      </c>
      <c r="B94" s="26"/>
      <c r="C94" s="27"/>
      <c r="D94" s="27"/>
      <c r="E94" s="71"/>
      <c r="F94" s="71"/>
      <c r="G94" s="71"/>
      <c r="H94" s="71"/>
      <c r="I94" s="55">
        <f t="shared" ref="I94:I115" si="6">ROUND((B94*C94*D94)*0.0001-(E94*F94*D94/2)*0.0001-(G94*H94*D94/2)*0.0001,2)</f>
        <v>0</v>
      </c>
      <c r="J94" s="1"/>
      <c r="K94" s="25">
        <v>1</v>
      </c>
      <c r="L94" s="26"/>
      <c r="M94" s="27"/>
      <c r="N94" s="27"/>
      <c r="O94" s="71"/>
      <c r="P94" s="71"/>
      <c r="Q94" s="71"/>
      <c r="R94" s="71"/>
      <c r="S94" s="55">
        <f t="shared" ref="S94:S115" si="7">ROUND((L94*M94*N94)*0.0001-(O94*P94*N94/2)*0.0001-(Q94*R94*N94/2)*0.0001,2)</f>
        <v>0</v>
      </c>
    </row>
    <row r="95" spans="1:19" ht="15.6" customHeight="1">
      <c r="A95" s="25">
        <v>2</v>
      </c>
      <c r="B95" s="26"/>
      <c r="C95" s="27"/>
      <c r="D95" s="27"/>
      <c r="E95" s="71"/>
      <c r="F95" s="71"/>
      <c r="G95" s="71"/>
      <c r="H95" s="71"/>
      <c r="I95" s="55">
        <f t="shared" si="6"/>
        <v>0</v>
      </c>
      <c r="J95" s="1"/>
      <c r="K95" s="25">
        <v>2</v>
      </c>
      <c r="L95" s="26"/>
      <c r="M95" s="27"/>
      <c r="N95" s="27"/>
      <c r="O95" s="71"/>
      <c r="P95" s="71"/>
      <c r="Q95" s="71"/>
      <c r="R95" s="71"/>
      <c r="S95" s="55">
        <f t="shared" si="7"/>
        <v>0</v>
      </c>
    </row>
    <row r="96" spans="1:19" ht="15.6" customHeight="1">
      <c r="A96" s="25">
        <v>3</v>
      </c>
      <c r="B96" s="26"/>
      <c r="C96" s="27"/>
      <c r="D96" s="27"/>
      <c r="E96" s="71"/>
      <c r="F96" s="71"/>
      <c r="G96" s="71"/>
      <c r="H96" s="71"/>
      <c r="I96" s="55">
        <f t="shared" si="6"/>
        <v>0</v>
      </c>
      <c r="J96" s="1"/>
      <c r="K96" s="25">
        <v>3</v>
      </c>
      <c r="L96" s="26"/>
      <c r="M96" s="27"/>
      <c r="N96" s="27"/>
      <c r="O96" s="71"/>
      <c r="P96" s="71"/>
      <c r="Q96" s="71"/>
      <c r="R96" s="71"/>
      <c r="S96" s="55">
        <f t="shared" si="7"/>
        <v>0</v>
      </c>
    </row>
    <row r="97" spans="1:19" ht="15.6" customHeight="1">
      <c r="A97" s="25">
        <v>4</v>
      </c>
      <c r="B97" s="26"/>
      <c r="C97" s="27"/>
      <c r="D97" s="27"/>
      <c r="E97" s="71"/>
      <c r="F97" s="71"/>
      <c r="G97" s="71"/>
      <c r="H97" s="71"/>
      <c r="I97" s="55">
        <f t="shared" si="6"/>
        <v>0</v>
      </c>
      <c r="J97" s="1"/>
      <c r="K97" s="25">
        <v>4</v>
      </c>
      <c r="L97" s="26"/>
      <c r="M97" s="27"/>
      <c r="N97" s="27"/>
      <c r="O97" s="71"/>
      <c r="P97" s="71"/>
      <c r="Q97" s="71"/>
      <c r="R97" s="71"/>
      <c r="S97" s="55">
        <f t="shared" si="7"/>
        <v>0</v>
      </c>
    </row>
    <row r="98" spans="1:19" ht="15.6" customHeight="1">
      <c r="A98" s="25">
        <v>5</v>
      </c>
      <c r="B98" s="26"/>
      <c r="C98" s="27"/>
      <c r="D98" s="27"/>
      <c r="E98" s="71"/>
      <c r="F98" s="71"/>
      <c r="G98" s="71"/>
      <c r="H98" s="71"/>
      <c r="I98" s="55">
        <f t="shared" si="6"/>
        <v>0</v>
      </c>
      <c r="J98" s="1"/>
      <c r="K98" s="25">
        <v>5</v>
      </c>
      <c r="L98" s="26"/>
      <c r="M98" s="27"/>
      <c r="N98" s="27"/>
      <c r="O98" s="71"/>
      <c r="P98" s="71"/>
      <c r="Q98" s="71"/>
      <c r="R98" s="71"/>
      <c r="S98" s="55">
        <f t="shared" si="7"/>
        <v>0</v>
      </c>
    </row>
    <row r="99" spans="1:19" ht="15.6" customHeight="1">
      <c r="A99" s="25">
        <v>6</v>
      </c>
      <c r="B99" s="26"/>
      <c r="C99" s="27"/>
      <c r="D99" s="27"/>
      <c r="E99" s="71"/>
      <c r="F99" s="71"/>
      <c r="G99" s="71"/>
      <c r="H99" s="71"/>
      <c r="I99" s="55">
        <f t="shared" si="6"/>
        <v>0</v>
      </c>
      <c r="J99" s="1"/>
      <c r="K99" s="25">
        <v>6</v>
      </c>
      <c r="L99" s="26"/>
      <c r="M99" s="27"/>
      <c r="N99" s="27"/>
      <c r="O99" s="71"/>
      <c r="P99" s="71"/>
      <c r="Q99" s="71"/>
      <c r="R99" s="71"/>
      <c r="S99" s="55">
        <f t="shared" si="7"/>
        <v>0</v>
      </c>
    </row>
    <row r="100" spans="1:19" ht="15.6" customHeight="1">
      <c r="A100" s="25">
        <v>7</v>
      </c>
      <c r="B100" s="26"/>
      <c r="C100" s="27"/>
      <c r="D100" s="27"/>
      <c r="E100" s="71"/>
      <c r="F100" s="71"/>
      <c r="G100" s="71"/>
      <c r="H100" s="71"/>
      <c r="I100" s="55">
        <f t="shared" si="6"/>
        <v>0</v>
      </c>
      <c r="J100" s="1"/>
      <c r="K100" s="25">
        <v>7</v>
      </c>
      <c r="L100" s="26"/>
      <c r="M100" s="27"/>
      <c r="N100" s="27"/>
      <c r="O100" s="71"/>
      <c r="P100" s="71"/>
      <c r="Q100" s="71"/>
      <c r="R100" s="71"/>
      <c r="S100" s="55">
        <f t="shared" si="7"/>
        <v>0</v>
      </c>
    </row>
    <row r="101" spans="1:19" ht="15.6" customHeight="1">
      <c r="A101" s="25">
        <v>8</v>
      </c>
      <c r="B101" s="26"/>
      <c r="C101" s="27"/>
      <c r="D101" s="27"/>
      <c r="E101" s="71"/>
      <c r="F101" s="71"/>
      <c r="G101" s="71"/>
      <c r="H101" s="71"/>
      <c r="I101" s="55">
        <f t="shared" si="6"/>
        <v>0</v>
      </c>
      <c r="J101" s="1"/>
      <c r="K101" s="25">
        <v>8</v>
      </c>
      <c r="L101" s="26"/>
      <c r="M101" s="27"/>
      <c r="N101" s="27"/>
      <c r="O101" s="71"/>
      <c r="P101" s="71"/>
      <c r="Q101" s="71"/>
      <c r="R101" s="71"/>
      <c r="S101" s="55">
        <f t="shared" si="7"/>
        <v>0</v>
      </c>
    </row>
    <row r="102" spans="1:19" ht="15.6" customHeight="1">
      <c r="A102" s="25">
        <v>9</v>
      </c>
      <c r="B102" s="26"/>
      <c r="C102" s="27"/>
      <c r="D102" s="27"/>
      <c r="E102" s="71"/>
      <c r="F102" s="71"/>
      <c r="G102" s="71"/>
      <c r="H102" s="71"/>
      <c r="I102" s="55">
        <f t="shared" si="6"/>
        <v>0</v>
      </c>
      <c r="J102" s="1"/>
      <c r="K102" s="25">
        <v>9</v>
      </c>
      <c r="L102" s="26"/>
      <c r="M102" s="27"/>
      <c r="N102" s="27"/>
      <c r="O102" s="71"/>
      <c r="P102" s="71"/>
      <c r="Q102" s="71"/>
      <c r="R102" s="71"/>
      <c r="S102" s="55">
        <f t="shared" si="7"/>
        <v>0</v>
      </c>
    </row>
    <row r="103" spans="1:19" ht="15.6" customHeight="1">
      <c r="A103" s="25">
        <v>10</v>
      </c>
      <c r="B103" s="26"/>
      <c r="C103" s="27"/>
      <c r="D103" s="27"/>
      <c r="E103" s="71"/>
      <c r="F103" s="71"/>
      <c r="G103" s="71"/>
      <c r="H103" s="71"/>
      <c r="I103" s="55">
        <f t="shared" si="6"/>
        <v>0</v>
      </c>
      <c r="J103" s="1"/>
      <c r="K103" s="25">
        <v>10</v>
      </c>
      <c r="L103" s="26"/>
      <c r="M103" s="27"/>
      <c r="N103" s="27"/>
      <c r="O103" s="71"/>
      <c r="P103" s="71"/>
      <c r="Q103" s="71"/>
      <c r="R103" s="71"/>
      <c r="S103" s="55">
        <f t="shared" si="7"/>
        <v>0</v>
      </c>
    </row>
    <row r="104" spans="1:19" ht="15.6" customHeight="1">
      <c r="A104" s="25">
        <v>11</v>
      </c>
      <c r="B104" s="26"/>
      <c r="C104" s="27"/>
      <c r="D104" s="27"/>
      <c r="E104" s="71"/>
      <c r="F104" s="71"/>
      <c r="G104" s="71"/>
      <c r="H104" s="71"/>
      <c r="I104" s="55">
        <f t="shared" si="6"/>
        <v>0</v>
      </c>
      <c r="J104" s="1"/>
      <c r="K104" s="25">
        <v>11</v>
      </c>
      <c r="L104" s="26"/>
      <c r="M104" s="27"/>
      <c r="N104" s="27"/>
      <c r="O104" s="71"/>
      <c r="P104" s="71"/>
      <c r="Q104" s="71"/>
      <c r="R104" s="71"/>
      <c r="S104" s="55">
        <f t="shared" si="7"/>
        <v>0</v>
      </c>
    </row>
    <row r="105" spans="1:19" ht="15.6" customHeight="1">
      <c r="A105" s="25">
        <v>12</v>
      </c>
      <c r="B105" s="26"/>
      <c r="C105" s="27"/>
      <c r="D105" s="27"/>
      <c r="E105" s="71"/>
      <c r="F105" s="71"/>
      <c r="G105" s="71"/>
      <c r="H105" s="71"/>
      <c r="I105" s="55">
        <f t="shared" si="6"/>
        <v>0</v>
      </c>
      <c r="J105" s="1"/>
      <c r="K105" s="25">
        <v>12</v>
      </c>
      <c r="L105" s="26"/>
      <c r="M105" s="27"/>
      <c r="N105" s="27"/>
      <c r="O105" s="71"/>
      <c r="P105" s="71"/>
      <c r="Q105" s="71"/>
      <c r="R105" s="71"/>
      <c r="S105" s="55">
        <f t="shared" si="7"/>
        <v>0</v>
      </c>
    </row>
    <row r="106" spans="1:19" ht="15.6" customHeight="1">
      <c r="A106" s="25">
        <v>13</v>
      </c>
      <c r="B106" s="26"/>
      <c r="C106" s="27"/>
      <c r="D106" s="27"/>
      <c r="E106" s="71"/>
      <c r="F106" s="71"/>
      <c r="G106" s="71"/>
      <c r="H106" s="71"/>
      <c r="I106" s="55">
        <f t="shared" si="6"/>
        <v>0</v>
      </c>
      <c r="J106" s="1"/>
      <c r="K106" s="25">
        <v>13</v>
      </c>
      <c r="L106" s="26"/>
      <c r="M106" s="27"/>
      <c r="N106" s="27"/>
      <c r="O106" s="71"/>
      <c r="P106" s="71"/>
      <c r="Q106" s="71"/>
      <c r="R106" s="71"/>
      <c r="S106" s="55">
        <f t="shared" si="7"/>
        <v>0</v>
      </c>
    </row>
    <row r="107" spans="1:19" ht="15.6" customHeight="1">
      <c r="A107" s="25">
        <v>14</v>
      </c>
      <c r="B107" s="26"/>
      <c r="C107" s="27"/>
      <c r="D107" s="27"/>
      <c r="E107" s="71"/>
      <c r="F107" s="71"/>
      <c r="G107" s="71"/>
      <c r="H107" s="71"/>
      <c r="I107" s="55">
        <f t="shared" si="6"/>
        <v>0</v>
      </c>
      <c r="J107" s="1"/>
      <c r="K107" s="25">
        <v>14</v>
      </c>
      <c r="L107" s="26"/>
      <c r="M107" s="27"/>
      <c r="N107" s="27"/>
      <c r="O107" s="71"/>
      <c r="P107" s="71"/>
      <c r="Q107" s="71"/>
      <c r="R107" s="71"/>
      <c r="S107" s="55">
        <f t="shared" si="7"/>
        <v>0</v>
      </c>
    </row>
    <row r="108" spans="1:19" ht="15.6" customHeight="1">
      <c r="A108" s="25">
        <v>15</v>
      </c>
      <c r="B108" s="26"/>
      <c r="C108" s="27"/>
      <c r="D108" s="27"/>
      <c r="E108" s="71"/>
      <c r="F108" s="71"/>
      <c r="G108" s="71"/>
      <c r="H108" s="71"/>
      <c r="I108" s="55">
        <f t="shared" si="6"/>
        <v>0</v>
      </c>
      <c r="J108" s="1"/>
      <c r="K108" s="25">
        <v>15</v>
      </c>
      <c r="L108" s="26"/>
      <c r="M108" s="27"/>
      <c r="N108" s="27"/>
      <c r="O108" s="71"/>
      <c r="P108" s="71"/>
      <c r="Q108" s="71"/>
      <c r="R108" s="71"/>
      <c r="S108" s="55">
        <f t="shared" si="7"/>
        <v>0</v>
      </c>
    </row>
    <row r="109" spans="1:19" ht="15.6" customHeight="1">
      <c r="A109" s="25">
        <v>16</v>
      </c>
      <c r="B109" s="26"/>
      <c r="C109" s="27"/>
      <c r="D109" s="27"/>
      <c r="E109" s="71"/>
      <c r="F109" s="71"/>
      <c r="G109" s="71"/>
      <c r="H109" s="71"/>
      <c r="I109" s="55">
        <f t="shared" si="6"/>
        <v>0</v>
      </c>
      <c r="J109" s="1"/>
      <c r="K109" s="25">
        <v>16</v>
      </c>
      <c r="L109" s="26"/>
      <c r="M109" s="27"/>
      <c r="N109" s="27"/>
      <c r="O109" s="71"/>
      <c r="P109" s="71"/>
      <c r="Q109" s="71"/>
      <c r="R109" s="71"/>
      <c r="S109" s="55">
        <f t="shared" si="7"/>
        <v>0</v>
      </c>
    </row>
    <row r="110" spans="1:19" ht="15.6" customHeight="1">
      <c r="A110" s="25">
        <v>17</v>
      </c>
      <c r="B110" s="26"/>
      <c r="C110" s="27"/>
      <c r="D110" s="27"/>
      <c r="E110" s="71"/>
      <c r="F110" s="71"/>
      <c r="G110" s="71"/>
      <c r="H110" s="71"/>
      <c r="I110" s="55">
        <f t="shared" si="6"/>
        <v>0</v>
      </c>
      <c r="J110" s="1"/>
      <c r="K110" s="25">
        <v>17</v>
      </c>
      <c r="L110" s="26"/>
      <c r="M110" s="27"/>
      <c r="N110" s="27"/>
      <c r="O110" s="71"/>
      <c r="P110" s="71"/>
      <c r="Q110" s="71"/>
      <c r="R110" s="71"/>
      <c r="S110" s="55">
        <f t="shared" si="7"/>
        <v>0</v>
      </c>
    </row>
    <row r="111" spans="1:19" ht="15.6" customHeight="1">
      <c r="A111" s="25">
        <v>18</v>
      </c>
      <c r="B111" s="26"/>
      <c r="C111" s="27"/>
      <c r="D111" s="27"/>
      <c r="E111" s="71"/>
      <c r="F111" s="71"/>
      <c r="G111" s="71"/>
      <c r="H111" s="71"/>
      <c r="I111" s="55">
        <f t="shared" si="6"/>
        <v>0</v>
      </c>
      <c r="J111" s="1"/>
      <c r="K111" s="25">
        <v>18</v>
      </c>
      <c r="L111" s="26"/>
      <c r="M111" s="27"/>
      <c r="N111" s="27"/>
      <c r="O111" s="71"/>
      <c r="P111" s="71"/>
      <c r="Q111" s="71"/>
      <c r="R111" s="71"/>
      <c r="S111" s="55">
        <f t="shared" si="7"/>
        <v>0</v>
      </c>
    </row>
    <row r="112" spans="1:19" ht="15.6" customHeight="1">
      <c r="A112" s="25">
        <v>19</v>
      </c>
      <c r="B112" s="26"/>
      <c r="C112" s="27"/>
      <c r="D112" s="27"/>
      <c r="E112" s="71"/>
      <c r="F112" s="71"/>
      <c r="G112" s="71"/>
      <c r="H112" s="71"/>
      <c r="I112" s="55">
        <f t="shared" si="6"/>
        <v>0</v>
      </c>
      <c r="J112" s="1"/>
      <c r="K112" s="25">
        <v>19</v>
      </c>
      <c r="L112" s="26"/>
      <c r="M112" s="27"/>
      <c r="N112" s="27"/>
      <c r="O112" s="71"/>
      <c r="P112" s="71"/>
      <c r="Q112" s="71"/>
      <c r="R112" s="71"/>
      <c r="S112" s="55">
        <f t="shared" si="7"/>
        <v>0</v>
      </c>
    </row>
    <row r="113" spans="1:19" ht="15.6" customHeight="1">
      <c r="A113" s="25">
        <v>20</v>
      </c>
      <c r="B113" s="26"/>
      <c r="C113" s="27"/>
      <c r="D113" s="27"/>
      <c r="E113" s="71"/>
      <c r="F113" s="71"/>
      <c r="G113" s="71"/>
      <c r="H113" s="71"/>
      <c r="I113" s="55">
        <f t="shared" si="6"/>
        <v>0</v>
      </c>
      <c r="J113" s="1"/>
      <c r="K113" s="25">
        <v>20</v>
      </c>
      <c r="L113" s="26"/>
      <c r="M113" s="27"/>
      <c r="N113" s="27"/>
      <c r="O113" s="71"/>
      <c r="P113" s="71"/>
      <c r="Q113" s="71"/>
      <c r="R113" s="71"/>
      <c r="S113" s="55">
        <f t="shared" si="7"/>
        <v>0</v>
      </c>
    </row>
    <row r="114" spans="1:19" ht="15.6" customHeight="1">
      <c r="A114" s="25">
        <v>21</v>
      </c>
      <c r="B114" s="26"/>
      <c r="C114" s="27"/>
      <c r="D114" s="27"/>
      <c r="E114" s="71"/>
      <c r="F114" s="71"/>
      <c r="G114" s="71"/>
      <c r="H114" s="71"/>
      <c r="I114" s="55">
        <f t="shared" si="6"/>
        <v>0</v>
      </c>
      <c r="J114" s="1"/>
      <c r="K114" s="25">
        <v>21</v>
      </c>
      <c r="L114" s="26"/>
      <c r="M114" s="27"/>
      <c r="N114" s="27"/>
      <c r="O114" s="71"/>
      <c r="P114" s="71"/>
      <c r="Q114" s="71"/>
      <c r="R114" s="71"/>
      <c r="S114" s="55">
        <f t="shared" si="7"/>
        <v>0</v>
      </c>
    </row>
    <row r="115" spans="1:19" ht="15.6" customHeight="1">
      <c r="A115" s="25">
        <v>22</v>
      </c>
      <c r="B115" s="26"/>
      <c r="C115" s="27"/>
      <c r="D115" s="27"/>
      <c r="E115" s="71"/>
      <c r="F115" s="71"/>
      <c r="G115" s="71"/>
      <c r="H115" s="71"/>
      <c r="I115" s="55">
        <f t="shared" si="6"/>
        <v>0</v>
      </c>
      <c r="J115" s="1"/>
      <c r="K115" s="25">
        <v>22</v>
      </c>
      <c r="L115" s="26"/>
      <c r="M115" s="27"/>
      <c r="N115" s="27"/>
      <c r="O115" s="71"/>
      <c r="P115" s="71"/>
      <c r="Q115" s="71"/>
      <c r="R115" s="71"/>
      <c r="S115" s="55">
        <f t="shared" si="7"/>
        <v>0</v>
      </c>
    </row>
    <row r="116" spans="1:19" ht="14.25" customHeight="1">
      <c r="A116" s="133" t="s">
        <v>11</v>
      </c>
      <c r="B116" s="134"/>
      <c r="C116" s="134"/>
      <c r="D116" s="70">
        <f>IF((G116=0),0,"1")</f>
        <v>0</v>
      </c>
      <c r="E116" s="16"/>
      <c r="F116" s="16"/>
      <c r="G116" s="17">
        <f>SUM(D94:D115)</f>
        <v>0</v>
      </c>
      <c r="H116" s="24" t="s">
        <v>15</v>
      </c>
      <c r="I116" s="18">
        <f>SUM(I94:I115)</f>
        <v>0</v>
      </c>
      <c r="J116" s="1"/>
      <c r="K116" s="133" t="s">
        <v>11</v>
      </c>
      <c r="L116" s="142"/>
      <c r="M116" s="142"/>
      <c r="N116" s="70">
        <f>IF((Q116=0),0,"1")</f>
        <v>0</v>
      </c>
      <c r="O116" s="16"/>
      <c r="P116" s="16"/>
      <c r="Q116" s="17">
        <f>SUM(N94:N115)</f>
        <v>0</v>
      </c>
      <c r="R116" s="24" t="s">
        <v>15</v>
      </c>
      <c r="S116" s="18">
        <f>SUM(S94:S115)</f>
        <v>0</v>
      </c>
    </row>
    <row r="117" spans="1:19" ht="9.9" customHeight="1" thickBot="1">
      <c r="E117" s="15"/>
      <c r="F117" s="14"/>
      <c r="G117" s="14"/>
      <c r="H117" s="13"/>
      <c r="I117" s="13"/>
      <c r="J117" s="13"/>
      <c r="K117" s="13"/>
      <c r="L117" s="13"/>
      <c r="M117" s="13"/>
      <c r="N117" s="13"/>
      <c r="O117" s="12"/>
      <c r="P117" s="12"/>
      <c r="Q117" s="12"/>
      <c r="R117" s="12"/>
      <c r="S117" s="13"/>
    </row>
    <row r="118" spans="1:19">
      <c r="R118" s="2"/>
      <c r="S118" s="2"/>
    </row>
  </sheetData>
  <sheetProtection sheet="1" objects="1" scenarios="1"/>
  <mergeCells count="40">
    <mergeCell ref="Q5:S5"/>
    <mergeCell ref="Q6:S6"/>
    <mergeCell ref="H7:J7"/>
    <mergeCell ref="A37:I37"/>
    <mergeCell ref="K37:S37"/>
    <mergeCell ref="B11:D11"/>
    <mergeCell ref="A35:C35"/>
    <mergeCell ref="K35:M35"/>
    <mergeCell ref="O11:R11"/>
    <mergeCell ref="E11:H11"/>
    <mergeCell ref="L11:N11"/>
    <mergeCell ref="E7:F7"/>
    <mergeCell ref="B5:D5"/>
    <mergeCell ref="E5:H5"/>
    <mergeCell ref="O92:R92"/>
    <mergeCell ref="K116:M116"/>
    <mergeCell ref="A89:C89"/>
    <mergeCell ref="A116:C116"/>
    <mergeCell ref="A91:I91"/>
    <mergeCell ref="K91:S91"/>
    <mergeCell ref="B92:D92"/>
    <mergeCell ref="E92:H92"/>
    <mergeCell ref="L92:N92"/>
    <mergeCell ref="K89:M89"/>
    <mergeCell ref="A3:S3"/>
    <mergeCell ref="A64:I64"/>
    <mergeCell ref="K64:S64"/>
    <mergeCell ref="A62:C62"/>
    <mergeCell ref="B65:D65"/>
    <mergeCell ref="O65:R65"/>
    <mergeCell ref="K62:M62"/>
    <mergeCell ref="E65:H65"/>
    <mergeCell ref="L65:N65"/>
    <mergeCell ref="B9:S9"/>
    <mergeCell ref="O38:R38"/>
    <mergeCell ref="L38:N38"/>
    <mergeCell ref="B38:D38"/>
    <mergeCell ref="E38:H38"/>
    <mergeCell ref="A10:I10"/>
    <mergeCell ref="K10:S10"/>
  </mergeCells>
  <phoneticPr fontId="3" type="noConversion"/>
  <conditionalFormatting sqref="E7 C7 H7:J7 Q35 S35">
    <cfRule type="cellIs" dxfId="14" priority="5" stopIfTrue="1" operator="equal">
      <formula>0</formula>
    </cfRule>
  </conditionalFormatting>
  <conditionalFormatting sqref="I13:I34 S13:S34 I40:I61 S40:S61 I67:I88 S67:S88 I94:I115 S94:S115">
    <cfRule type="cellIs" dxfId="13" priority="7" stopIfTrue="1" operator="equal">
      <formula>0</formula>
    </cfRule>
  </conditionalFormatting>
  <conditionalFormatting sqref="A64:I64">
    <cfRule type="expression" dxfId="12" priority="8" stopIfTrue="1">
      <formula>$I$89=0</formula>
    </cfRule>
  </conditionalFormatting>
  <conditionalFormatting sqref="K64:S64">
    <cfRule type="expression" dxfId="11" priority="9" stopIfTrue="1">
      <formula>$S$89=0</formula>
    </cfRule>
  </conditionalFormatting>
  <conditionalFormatting sqref="A91:I91">
    <cfRule type="expression" dxfId="10" priority="10" stopIfTrue="1">
      <formula>$I$116=0</formula>
    </cfRule>
  </conditionalFormatting>
  <conditionalFormatting sqref="K91:S91">
    <cfRule type="expression" dxfId="9" priority="11" stopIfTrue="1">
      <formula>$S$116=0</formula>
    </cfRule>
  </conditionalFormatting>
  <conditionalFormatting sqref="A10:I10">
    <cfRule type="expression" dxfId="8" priority="12" stopIfTrue="1">
      <formula>$I$35=0</formula>
    </cfRule>
  </conditionalFormatting>
  <conditionalFormatting sqref="K10:S10">
    <cfRule type="expression" dxfId="7" priority="13" stopIfTrue="1">
      <formula>$S$35=0</formula>
    </cfRule>
  </conditionalFormatting>
  <conditionalFormatting sqref="A37:I37">
    <cfRule type="expression" dxfId="6" priority="14" stopIfTrue="1">
      <formula>$I$62=0</formula>
    </cfRule>
  </conditionalFormatting>
  <conditionalFormatting sqref="K37:S37">
    <cfRule type="expression" dxfId="5" priority="15" stopIfTrue="1">
      <formula>$S$62=0</formula>
    </cfRule>
  </conditionalFormatting>
  <conditionalFormatting sqref="R35 H116 R89 H89 R62 H62 H35">
    <cfRule type="expression" dxfId="4" priority="16" stopIfTrue="1">
      <formula>$Q$35=0</formula>
    </cfRule>
  </conditionalFormatting>
  <conditionalFormatting sqref="Q5:S5">
    <cfRule type="cellIs" dxfId="3" priority="4" operator="equal">
      <formula>0</formula>
    </cfRule>
  </conditionalFormatting>
  <conditionalFormatting sqref="D35">
    <cfRule type="cellIs" dxfId="2" priority="3" operator="equal">
      <formula>0</formula>
    </cfRule>
  </conditionalFormatting>
  <conditionalFormatting sqref="Q116 S116 G116 I116 Q89 S89 G89 I89 Q62 S62 G62 I62 G35 I35">
    <cfRule type="cellIs" dxfId="1" priority="1" stopIfTrue="1" operator="equal">
      <formula>0</formula>
    </cfRule>
  </conditionalFormatting>
  <conditionalFormatting sqref="R116">
    <cfRule type="expression" dxfId="0" priority="2" stopIfTrue="1">
      <formula>$Q$35=0</formula>
    </cfRule>
  </conditionalFormatting>
  <dataValidations count="3">
    <dataValidation showDropDown="1" sqref="C8"/>
    <dataValidation type="list" imeMode="off" allowBlank="1" showInputMessage="1" showErrorMessage="1" sqref="Q5:S5">
      <formula1>厚度规格</formula1>
    </dataValidation>
    <dataValidation type="decimal" allowBlank="1" showInputMessage="1" showErrorMessage="1" sqref="V13">
      <formula1>1.4</formula1>
      <formula2>10</formula2>
    </dataValidation>
  </dataValidations>
  <printOptions horizontalCentered="1"/>
  <pageMargins left="0.31496062992125984" right="0" top="0.35433070866141736" bottom="0" header="0.31496062992125984" footer="0.23622047244094491"/>
  <pageSetup paperSize="9" scale="83" fitToHeight="3" pageOrder="overThenDown" orientation="portrait" horizontalDpi="4294967294" verticalDpi="300" r:id="rId1"/>
  <headerFooter alignWithMargins="0">
    <oddFooter>&amp;L&amp;"黑体,倾斜"声明：大理石乃天然矿物，略带色差，花差。请予接纳！&amp;R
第 &amp;P 页</oddFooter>
  </headerFooter>
  <rowBreaks count="1" manualBreakCount="1">
    <brk id="62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按钮6_Click">
                <anchor moveWithCells="1">
                  <from>
                    <xdr:col>19</xdr:col>
                    <xdr:colOff>137160</xdr:colOff>
                    <xdr:row>10</xdr:row>
                    <xdr:rowOff>137160</xdr:rowOff>
                  </from>
                  <to>
                    <xdr:col>22</xdr:col>
                    <xdr:colOff>76200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按钮7_Click">
                <anchor moveWithCells="1" sizeWithCells="1">
                  <from>
                    <xdr:col>19</xdr:col>
                    <xdr:colOff>175260</xdr:colOff>
                    <xdr:row>13</xdr:row>
                    <xdr:rowOff>106680</xdr:rowOff>
                  </from>
                  <to>
                    <xdr:col>22</xdr:col>
                    <xdr:colOff>68580</xdr:colOff>
                    <xdr:row>15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Q189"/>
  <sheetViews>
    <sheetView zoomScaleNormal="100" workbookViewId="0">
      <selection activeCell="B7" sqref="B7"/>
    </sheetView>
  </sheetViews>
  <sheetFormatPr defaultColWidth="8.69921875" defaultRowHeight="15.6"/>
  <cols>
    <col min="1" max="1" width="5.3984375" style="104" customWidth="1"/>
    <col min="2" max="2" width="9.8984375" style="107" customWidth="1"/>
    <col min="3" max="3" width="6.69921875" style="106" customWidth="1"/>
    <col min="4" max="4" width="2.19921875" style="106" customWidth="1"/>
    <col min="5" max="5" width="5.3984375" style="106" customWidth="1"/>
    <col min="6" max="6" width="2.3984375" style="104" bestFit="1" customWidth="1"/>
    <col min="7" max="7" width="5.3984375" style="104" customWidth="1"/>
    <col min="8" max="8" width="1.69921875" style="104" customWidth="1"/>
    <col min="9" max="9" width="5.3984375" style="104" customWidth="1"/>
    <col min="10" max="10" width="2.3984375" style="104" customWidth="1"/>
    <col min="11" max="11" width="5.3984375" style="104" customWidth="1"/>
    <col min="12" max="12" width="6.59765625" style="104" customWidth="1"/>
    <col min="13" max="16384" width="8.69921875" style="104"/>
  </cols>
  <sheetData>
    <row r="1" spans="2:17" ht="14.25" customHeight="1" thickBot="1"/>
    <row r="2" spans="2:17" ht="19.5" customHeight="1" thickBot="1">
      <c r="C2" s="105"/>
      <c r="D2" s="116"/>
      <c r="E2" s="151" t="s">
        <v>29</v>
      </c>
      <c r="F2" s="152"/>
      <c r="G2" s="152"/>
      <c r="H2" s="157" t="str">
        <f>LEFT(大板!B5,LENB(大板!B5)-LEN(大板!B5))</f>
        <v>浅啡网</v>
      </c>
      <c r="I2" s="158"/>
      <c r="J2" s="158"/>
      <c r="K2" s="158"/>
      <c r="L2" s="112"/>
    </row>
    <row r="3" spans="2:17" ht="19.5" customHeight="1" thickBot="1">
      <c r="C3" s="105"/>
      <c r="D3" s="116"/>
      <c r="E3" s="153" t="s">
        <v>28</v>
      </c>
      <c r="F3" s="154"/>
      <c r="G3" s="154"/>
      <c r="H3" s="159">
        <f>大板!$E$5</f>
        <v>0</v>
      </c>
      <c r="I3" s="160"/>
      <c r="J3" s="160"/>
      <c r="K3" s="160"/>
      <c r="L3" s="113"/>
    </row>
    <row r="4" spans="2:17" ht="19.5" customHeight="1" thickBot="1">
      <c r="C4" s="105"/>
      <c r="D4" s="117"/>
      <c r="E4" s="155" t="s">
        <v>42</v>
      </c>
      <c r="F4" s="156"/>
      <c r="G4" s="156"/>
      <c r="H4" s="157" t="str">
        <f>大板!Q5</f>
        <v>1.5cm</v>
      </c>
      <c r="I4" s="158"/>
      <c r="J4" s="158"/>
      <c r="K4" s="158"/>
      <c r="L4" s="112"/>
    </row>
    <row r="5" spans="2:17" ht="19.5" customHeight="1" thickBot="1">
      <c r="C5" s="105"/>
      <c r="D5" s="116"/>
      <c r="E5" s="161" t="str">
        <f>"全料  "&amp;大板!C7&amp;"  夹,  "&amp;TEXT(大板!H7,"0.00")&amp;" ㎡"</f>
        <v>全料  0  夹,  0.00 ㎡</v>
      </c>
      <c r="F5" s="161"/>
      <c r="G5" s="161"/>
      <c r="H5" s="161"/>
      <c r="I5" s="161"/>
      <c r="J5" s="161"/>
      <c r="K5" s="161"/>
      <c r="L5" s="114"/>
    </row>
    <row r="6" spans="2:17" customFormat="1" ht="9" customHeight="1"/>
    <row r="7" spans="2:17" customFormat="1" ht="17.399999999999999">
      <c r="B7" s="108" t="str">
        <f>TEXT(C7,"1;1;;")</f>
        <v/>
      </c>
      <c r="C7" s="109" t="str">
        <f>IF(大板!B13="","",大板!B13)</f>
        <v/>
      </c>
      <c r="D7" s="109" t="str">
        <f>IF(ISNUMBER(C7),"*","")</f>
        <v/>
      </c>
      <c r="E7" s="109" t="str">
        <f>IF(大板!C13="","",大板!C13)</f>
        <v/>
      </c>
      <c r="F7" s="110" t="str">
        <f>IF(ISNUMBER(G7),"(","")</f>
        <v/>
      </c>
      <c r="G7" s="110" t="str">
        <f>IF(大板!E13="","",大板!E13)</f>
        <v/>
      </c>
      <c r="H7" s="110" t="str">
        <f>IF(ISNUMBER(G7),"*","")</f>
        <v/>
      </c>
      <c r="I7" s="110" t="str">
        <f>IF(大板!F13="","",大板!F13)</f>
        <v/>
      </c>
      <c r="J7" s="110" t="str">
        <f>IF(ISNUMBER(I7),")","")</f>
        <v/>
      </c>
      <c r="K7" s="111" t="str">
        <f>TEXT(大板!I13,"#0.00;;;")</f>
        <v/>
      </c>
    </row>
    <row r="8" spans="2:17" ht="17.399999999999999">
      <c r="B8" s="108" t="str">
        <f>TEXT(C8,"2;;;")</f>
        <v/>
      </c>
      <c r="C8" s="109" t="str">
        <f>IF(大板!B14="","",大板!B14)</f>
        <v/>
      </c>
      <c r="D8" s="109" t="str">
        <f t="shared" ref="D8:D26" si="0">IF(ISNUMBER(C8),"*","")</f>
        <v/>
      </c>
      <c r="E8" s="109" t="str">
        <f>IF(大板!C14="","",大板!C14)</f>
        <v/>
      </c>
      <c r="F8" s="110" t="str">
        <f t="shared" ref="F8:F26" si="1">IF(ISNUMBER(G8),"(","")</f>
        <v/>
      </c>
      <c r="G8" s="110" t="str">
        <f>IF(大板!E14="","",大板!E14)</f>
        <v/>
      </c>
      <c r="H8" s="110" t="str">
        <f t="shared" ref="H8:H26" si="2">IF(ISNUMBER(G8),"*","")</f>
        <v/>
      </c>
      <c r="I8" s="110" t="str">
        <f>IF(大板!F14="","",大板!F14)</f>
        <v/>
      </c>
      <c r="J8" s="110" t="str">
        <f t="shared" ref="J8:J26" si="3">IF(ISNUMBER(I8),")","")</f>
        <v/>
      </c>
      <c r="K8" s="111" t="str">
        <f>TEXT(大板!I14,"#0.00;;;")</f>
        <v/>
      </c>
    </row>
    <row r="9" spans="2:17" ht="17.399999999999999">
      <c r="B9" s="108" t="str">
        <f>TEXT(C9,"3;;;")</f>
        <v/>
      </c>
      <c r="C9" s="109" t="str">
        <f>IF(大板!B15="","",大板!B15)</f>
        <v/>
      </c>
      <c r="D9" s="109" t="str">
        <f t="shared" si="0"/>
        <v/>
      </c>
      <c r="E9" s="109" t="str">
        <f>IF(大板!C15="","",大板!C15)</f>
        <v/>
      </c>
      <c r="F9" s="110" t="str">
        <f t="shared" si="1"/>
        <v/>
      </c>
      <c r="G9" s="110" t="str">
        <f>IF(大板!E15="","",大板!E15)</f>
        <v/>
      </c>
      <c r="H9" s="110" t="str">
        <f t="shared" si="2"/>
        <v/>
      </c>
      <c r="I9" s="110" t="str">
        <f>IF(大板!F15="","",大板!F15)</f>
        <v/>
      </c>
      <c r="J9" s="110" t="str">
        <f t="shared" si="3"/>
        <v/>
      </c>
      <c r="K9" s="111" t="str">
        <f>TEXT(大板!I15,"#0.00;;;")</f>
        <v/>
      </c>
    </row>
    <row r="10" spans="2:17" ht="17.399999999999999">
      <c r="B10" s="108" t="str">
        <f>TEXT(C10,"4;;;")</f>
        <v/>
      </c>
      <c r="C10" s="109" t="str">
        <f>IF(大板!B16="","",大板!B16)</f>
        <v/>
      </c>
      <c r="D10" s="109" t="str">
        <f t="shared" si="0"/>
        <v/>
      </c>
      <c r="E10" s="109" t="str">
        <f>IF(大板!C16="","",大板!C16)</f>
        <v/>
      </c>
      <c r="F10" s="110" t="str">
        <f t="shared" si="1"/>
        <v/>
      </c>
      <c r="G10" s="110" t="str">
        <f>IF(大板!E16="","",大板!E16)</f>
        <v/>
      </c>
      <c r="H10" s="110" t="str">
        <f t="shared" si="2"/>
        <v/>
      </c>
      <c r="I10" s="110" t="str">
        <f>IF(大板!F16="","",大板!F16)</f>
        <v/>
      </c>
      <c r="J10" s="110" t="str">
        <f t="shared" si="3"/>
        <v/>
      </c>
      <c r="K10" s="111" t="str">
        <f>TEXT(大板!I16,"#0.00;;;")</f>
        <v/>
      </c>
    </row>
    <row r="11" spans="2:17" ht="17.399999999999999">
      <c r="B11" s="108" t="str">
        <f>TEXT(C11,"5;;;")</f>
        <v/>
      </c>
      <c r="C11" s="109" t="str">
        <f>IF(大板!B17="","",大板!B17)</f>
        <v/>
      </c>
      <c r="D11" s="109" t="str">
        <f t="shared" si="0"/>
        <v/>
      </c>
      <c r="E11" s="109" t="str">
        <f>IF(大板!C17="","",大板!C17)</f>
        <v/>
      </c>
      <c r="F11" s="110" t="str">
        <f t="shared" si="1"/>
        <v/>
      </c>
      <c r="G11" s="110" t="str">
        <f>IF(大板!E17="","",大板!E17)</f>
        <v/>
      </c>
      <c r="H11" s="110" t="str">
        <f t="shared" si="2"/>
        <v/>
      </c>
      <c r="I11" s="110" t="str">
        <f>IF(大板!F17="","",大板!F17)</f>
        <v/>
      </c>
      <c r="J11" s="110" t="str">
        <f t="shared" si="3"/>
        <v/>
      </c>
      <c r="K11" s="111" t="str">
        <f>TEXT(大板!I17,"#0.00;;;")</f>
        <v/>
      </c>
    </row>
    <row r="12" spans="2:17" ht="17.399999999999999">
      <c r="B12" s="108" t="str">
        <f>TEXT(C12,"6;;;")</f>
        <v/>
      </c>
      <c r="C12" s="109" t="str">
        <f>IF(大板!B18="","",大板!B18)</f>
        <v/>
      </c>
      <c r="D12" s="109" t="str">
        <f t="shared" si="0"/>
        <v/>
      </c>
      <c r="E12" s="109" t="str">
        <f>IF(大板!C18="","",大板!C18)</f>
        <v/>
      </c>
      <c r="F12" s="110" t="str">
        <f t="shared" si="1"/>
        <v/>
      </c>
      <c r="G12" s="110" t="str">
        <f>IF(大板!E18="","",大板!E18)</f>
        <v/>
      </c>
      <c r="H12" s="110" t="str">
        <f t="shared" si="2"/>
        <v/>
      </c>
      <c r="I12" s="110" t="str">
        <f>IF(大板!F18="","",大板!F18)</f>
        <v/>
      </c>
      <c r="J12" s="110" t="str">
        <f t="shared" si="3"/>
        <v/>
      </c>
      <c r="K12" s="111" t="str">
        <f>TEXT(大板!I18,"#0.00;;;")</f>
        <v/>
      </c>
    </row>
    <row r="13" spans="2:17" ht="17.399999999999999">
      <c r="B13" s="108" t="str">
        <f>TEXT(C13,"7;;;")</f>
        <v/>
      </c>
      <c r="C13" s="109" t="str">
        <f>IF(大板!B19="","",大板!B19)</f>
        <v/>
      </c>
      <c r="D13" s="109" t="str">
        <f t="shared" si="0"/>
        <v/>
      </c>
      <c r="E13" s="109" t="str">
        <f>IF(大板!C19="","",大板!C19)</f>
        <v/>
      </c>
      <c r="F13" s="110" t="str">
        <f t="shared" si="1"/>
        <v/>
      </c>
      <c r="G13" s="110" t="str">
        <f>IF(大板!E19="","",大板!E19)</f>
        <v/>
      </c>
      <c r="H13" s="110" t="str">
        <f t="shared" si="2"/>
        <v/>
      </c>
      <c r="I13" s="110" t="str">
        <f>IF(大板!F19="","",大板!F19)</f>
        <v/>
      </c>
      <c r="J13" s="110" t="str">
        <f t="shared" si="3"/>
        <v/>
      </c>
      <c r="K13" s="111" t="str">
        <f>TEXT(大板!I19,"#0.00;;;")</f>
        <v/>
      </c>
    </row>
    <row r="14" spans="2:17" ht="17.399999999999999">
      <c r="B14" s="108" t="str">
        <f>TEXT(C14,"8;;;")</f>
        <v/>
      </c>
      <c r="C14" s="109" t="str">
        <f>IF(大板!B20="","",大板!B20)</f>
        <v/>
      </c>
      <c r="D14" s="109" t="str">
        <f t="shared" si="0"/>
        <v/>
      </c>
      <c r="E14" s="109" t="str">
        <f>IF(大板!C20="","",大板!C20)</f>
        <v/>
      </c>
      <c r="F14" s="110" t="str">
        <f t="shared" si="1"/>
        <v/>
      </c>
      <c r="G14" s="110" t="str">
        <f>IF(大板!E20="","",大板!E20)</f>
        <v/>
      </c>
      <c r="H14" s="110" t="str">
        <f t="shared" si="2"/>
        <v/>
      </c>
      <c r="I14" s="110" t="str">
        <f>IF(大板!F20="","",大板!F20)</f>
        <v/>
      </c>
      <c r="J14" s="110" t="str">
        <f t="shared" si="3"/>
        <v/>
      </c>
      <c r="K14" s="111" t="str">
        <f>TEXT(大板!I20,"#0.00;;;")</f>
        <v/>
      </c>
    </row>
    <row r="15" spans="2:17" ht="17.399999999999999">
      <c r="B15" s="108" t="str">
        <f>TEXT(C15,"9;;;")</f>
        <v/>
      </c>
      <c r="C15" s="109" t="str">
        <f>IF(大板!B21="","",大板!B21)</f>
        <v/>
      </c>
      <c r="D15" s="109" t="str">
        <f t="shared" si="0"/>
        <v/>
      </c>
      <c r="E15" s="109" t="str">
        <f>IF(大板!C21="","",大板!C21)</f>
        <v/>
      </c>
      <c r="F15" s="110" t="str">
        <f t="shared" si="1"/>
        <v/>
      </c>
      <c r="G15" s="110" t="str">
        <f>IF(大板!E21="","",大板!E21)</f>
        <v/>
      </c>
      <c r="H15" s="110" t="str">
        <f t="shared" si="2"/>
        <v/>
      </c>
      <c r="I15" s="110" t="str">
        <f>IF(大板!F21="","",大板!F21)</f>
        <v/>
      </c>
      <c r="J15" s="110" t="str">
        <f t="shared" si="3"/>
        <v/>
      </c>
      <c r="K15" s="111" t="str">
        <f>TEXT(大板!I21,"#0.00;;;")</f>
        <v/>
      </c>
    </row>
    <row r="16" spans="2:17" ht="17.399999999999999">
      <c r="B16" s="108" t="str">
        <f>IF(ISNUMBER(C16),"10","")</f>
        <v/>
      </c>
      <c r="C16" s="109" t="str">
        <f>IF(大板!B22="","",大板!B22)</f>
        <v/>
      </c>
      <c r="D16" s="109" t="str">
        <f t="shared" si="0"/>
        <v/>
      </c>
      <c r="E16" s="109" t="str">
        <f>IF(大板!C22="","",大板!C22)</f>
        <v/>
      </c>
      <c r="F16" s="110" t="str">
        <f t="shared" si="1"/>
        <v/>
      </c>
      <c r="G16" s="110" t="str">
        <f>IF(大板!E22="","",大板!E22)</f>
        <v/>
      </c>
      <c r="H16" s="110" t="str">
        <f t="shared" si="2"/>
        <v/>
      </c>
      <c r="I16" s="110" t="str">
        <f>IF(大板!F22="","",大板!F22)</f>
        <v/>
      </c>
      <c r="J16" s="110" t="str">
        <f t="shared" si="3"/>
        <v/>
      </c>
      <c r="K16" s="111" t="str">
        <f>TEXT(大板!I22,"#0.00;;;")</f>
        <v/>
      </c>
      <c r="Q16" s="104" t="str">
        <f>IF(P16&gt;0,"*","")</f>
        <v/>
      </c>
    </row>
    <row r="17" spans="2:12" ht="17.399999999999999">
      <c r="B17" s="108" t="str">
        <f>TEXT(C17,"11;;;")</f>
        <v/>
      </c>
      <c r="C17" s="109" t="str">
        <f>IF(大板!B23="","",大板!B23)</f>
        <v/>
      </c>
      <c r="D17" s="109" t="str">
        <f t="shared" si="0"/>
        <v/>
      </c>
      <c r="E17" s="109" t="str">
        <f>IF(大板!C23="","",大板!C23)</f>
        <v/>
      </c>
      <c r="F17" s="110" t="str">
        <f t="shared" si="1"/>
        <v/>
      </c>
      <c r="G17" s="110" t="str">
        <f>IF(大板!E23="","",大板!E23)</f>
        <v/>
      </c>
      <c r="H17" s="110" t="str">
        <f t="shared" si="2"/>
        <v/>
      </c>
      <c r="I17" s="110" t="str">
        <f>IF(大板!F23="","",大板!F23)</f>
        <v/>
      </c>
      <c r="J17" s="110" t="str">
        <f t="shared" si="3"/>
        <v/>
      </c>
      <c r="K17" s="111" t="str">
        <f>TEXT(大板!I23,"#0.00;;;")</f>
        <v/>
      </c>
    </row>
    <row r="18" spans="2:12" ht="17.399999999999999">
      <c r="B18" s="108" t="str">
        <f>TEXT(C18,"12;;;")</f>
        <v/>
      </c>
      <c r="C18" s="109" t="str">
        <f>IF(大板!B24="","",大板!B24)</f>
        <v/>
      </c>
      <c r="D18" s="109" t="str">
        <f t="shared" si="0"/>
        <v/>
      </c>
      <c r="E18" s="109" t="str">
        <f>IF(大板!C24="","",大板!C24)</f>
        <v/>
      </c>
      <c r="F18" s="110" t="str">
        <f t="shared" si="1"/>
        <v/>
      </c>
      <c r="G18" s="110" t="str">
        <f>IF(大板!E24="","",大板!E24)</f>
        <v/>
      </c>
      <c r="H18" s="110" t="str">
        <f t="shared" si="2"/>
        <v/>
      </c>
      <c r="I18" s="110" t="str">
        <f>IF(大板!F24="","",大板!F24)</f>
        <v/>
      </c>
      <c r="J18" s="110" t="str">
        <f t="shared" si="3"/>
        <v/>
      </c>
      <c r="K18" s="111" t="str">
        <f>TEXT(大板!I24,"#0.00;;;")</f>
        <v/>
      </c>
    </row>
    <row r="19" spans="2:12" ht="17.399999999999999">
      <c r="B19" s="108" t="str">
        <f>TEXT(C19,"13;;;")</f>
        <v/>
      </c>
      <c r="C19" s="109" t="str">
        <f>IF(大板!B25="","",大板!B25)</f>
        <v/>
      </c>
      <c r="D19" s="109" t="str">
        <f t="shared" si="0"/>
        <v/>
      </c>
      <c r="E19" s="109" t="str">
        <f>IF(大板!C25="","",大板!C25)</f>
        <v/>
      </c>
      <c r="F19" s="110" t="str">
        <f t="shared" si="1"/>
        <v/>
      </c>
      <c r="G19" s="110" t="str">
        <f>IF(大板!E25="","",大板!E25)</f>
        <v/>
      </c>
      <c r="H19" s="110" t="str">
        <f t="shared" si="2"/>
        <v/>
      </c>
      <c r="I19" s="110" t="str">
        <f>IF(大板!F25="","",大板!F25)</f>
        <v/>
      </c>
      <c r="J19" s="110" t="str">
        <f t="shared" si="3"/>
        <v/>
      </c>
      <c r="K19" s="111" t="str">
        <f>TEXT(大板!I25,"#0.00;;;")</f>
        <v/>
      </c>
    </row>
    <row r="20" spans="2:12" ht="17.399999999999999">
      <c r="B20" s="108" t="str">
        <f>TEXT(C20,"14;;;")</f>
        <v/>
      </c>
      <c r="C20" s="109" t="str">
        <f>IF(大板!B26="","",大板!B26)</f>
        <v/>
      </c>
      <c r="D20" s="109" t="str">
        <f t="shared" si="0"/>
        <v/>
      </c>
      <c r="E20" s="109" t="str">
        <f>IF(大板!C26="","",大板!C26)</f>
        <v/>
      </c>
      <c r="F20" s="110" t="str">
        <f t="shared" si="1"/>
        <v/>
      </c>
      <c r="G20" s="110" t="str">
        <f>IF(大板!E26="","",大板!E26)</f>
        <v/>
      </c>
      <c r="H20" s="110" t="str">
        <f t="shared" si="2"/>
        <v/>
      </c>
      <c r="I20" s="110" t="str">
        <f>IF(大板!F26="","",大板!F26)</f>
        <v/>
      </c>
      <c r="J20" s="110" t="str">
        <f t="shared" si="3"/>
        <v/>
      </c>
      <c r="K20" s="111" t="str">
        <f>TEXT(大板!I26,"#0.00;;;")</f>
        <v/>
      </c>
    </row>
    <row r="21" spans="2:12" ht="17.399999999999999">
      <c r="B21" s="108" t="str">
        <f>TEXT(C21,"15;;;")</f>
        <v/>
      </c>
      <c r="C21" s="109" t="str">
        <f>IF(大板!B27="","",大板!B27)</f>
        <v/>
      </c>
      <c r="D21" s="109" t="str">
        <f t="shared" si="0"/>
        <v/>
      </c>
      <c r="E21" s="109" t="str">
        <f>IF(大板!C27="","",大板!C27)</f>
        <v/>
      </c>
      <c r="F21" s="110" t="str">
        <f t="shared" si="1"/>
        <v/>
      </c>
      <c r="G21" s="110" t="str">
        <f>IF(大板!E27="","",大板!E27)</f>
        <v/>
      </c>
      <c r="H21" s="110" t="str">
        <f t="shared" si="2"/>
        <v/>
      </c>
      <c r="I21" s="110" t="str">
        <f>IF(大板!F27="","",大板!F27)</f>
        <v/>
      </c>
      <c r="J21" s="110" t="str">
        <f t="shared" si="3"/>
        <v/>
      </c>
      <c r="K21" s="111" t="str">
        <f>TEXT(大板!I27,"#0.00;;;")</f>
        <v/>
      </c>
    </row>
    <row r="22" spans="2:12" ht="17.399999999999999">
      <c r="B22" s="108" t="str">
        <f>TEXT(C22,"16;;;")</f>
        <v/>
      </c>
      <c r="C22" s="109" t="str">
        <f>IF(大板!B28="","",大板!B28)</f>
        <v/>
      </c>
      <c r="D22" s="109" t="str">
        <f t="shared" si="0"/>
        <v/>
      </c>
      <c r="E22" s="109" t="str">
        <f>IF(大板!C28="","",大板!C28)</f>
        <v/>
      </c>
      <c r="F22" s="110" t="str">
        <f t="shared" si="1"/>
        <v/>
      </c>
      <c r="G22" s="110" t="str">
        <f>IF(大板!E28="","",大板!E28)</f>
        <v/>
      </c>
      <c r="H22" s="110" t="str">
        <f t="shared" si="2"/>
        <v/>
      </c>
      <c r="I22" s="110" t="str">
        <f>IF(大板!F28="","",大板!F28)</f>
        <v/>
      </c>
      <c r="J22" s="110" t="str">
        <f t="shared" si="3"/>
        <v/>
      </c>
      <c r="K22" s="111" t="str">
        <f>TEXT(大板!I28,"#0.00;;;")</f>
        <v/>
      </c>
    </row>
    <row r="23" spans="2:12" ht="17.399999999999999">
      <c r="B23" s="108" t="str">
        <f>TEXT(C23,"17;;;")</f>
        <v/>
      </c>
      <c r="C23" s="109" t="str">
        <f>IF(大板!B29="","",大板!B29)</f>
        <v/>
      </c>
      <c r="D23" s="109" t="str">
        <f t="shared" si="0"/>
        <v/>
      </c>
      <c r="E23" s="109" t="str">
        <f>IF(大板!C29="","",大板!C29)</f>
        <v/>
      </c>
      <c r="F23" s="110" t="str">
        <f t="shared" si="1"/>
        <v/>
      </c>
      <c r="G23" s="110" t="str">
        <f>IF(大板!E29="","",大板!E29)</f>
        <v/>
      </c>
      <c r="H23" s="110" t="str">
        <f t="shared" si="2"/>
        <v/>
      </c>
      <c r="I23" s="110" t="str">
        <f>IF(大板!F29="","",大板!F29)</f>
        <v/>
      </c>
      <c r="J23" s="110" t="str">
        <f t="shared" si="3"/>
        <v/>
      </c>
      <c r="K23" s="111" t="str">
        <f>TEXT(大板!I29,"#0.00;;;")</f>
        <v/>
      </c>
    </row>
    <row r="24" spans="2:12" ht="17.399999999999999">
      <c r="B24" s="108" t="str">
        <f>TEXT(C24,"18;;;")</f>
        <v/>
      </c>
      <c r="C24" s="109" t="str">
        <f>IF(大板!B30="","",大板!B30)</f>
        <v/>
      </c>
      <c r="D24" s="109" t="str">
        <f t="shared" si="0"/>
        <v/>
      </c>
      <c r="E24" s="109" t="str">
        <f>IF(大板!C30="","",大板!C30)</f>
        <v/>
      </c>
      <c r="F24" s="110" t="str">
        <f t="shared" si="1"/>
        <v/>
      </c>
      <c r="G24" s="110" t="str">
        <f>IF(大板!E30="","",大板!E30)</f>
        <v/>
      </c>
      <c r="H24" s="110" t="str">
        <f t="shared" si="2"/>
        <v/>
      </c>
      <c r="I24" s="110" t="str">
        <f>IF(大板!F30="","",大板!F30)</f>
        <v/>
      </c>
      <c r="J24" s="110" t="str">
        <f t="shared" si="3"/>
        <v/>
      </c>
      <c r="K24" s="111" t="str">
        <f>TEXT(大板!I30,"#0.00;;;")</f>
        <v/>
      </c>
    </row>
    <row r="25" spans="2:12" ht="17.399999999999999">
      <c r="B25" s="108" t="str">
        <f>TEXT(C25,"19;;;")</f>
        <v/>
      </c>
      <c r="C25" s="109" t="str">
        <f>IF(大板!B31="","",大板!B31)</f>
        <v/>
      </c>
      <c r="D25" s="109" t="str">
        <f t="shared" si="0"/>
        <v/>
      </c>
      <c r="E25" s="109" t="str">
        <f>IF(大板!C31="","",大板!C31)</f>
        <v/>
      </c>
      <c r="F25" s="110" t="str">
        <f t="shared" si="1"/>
        <v/>
      </c>
      <c r="G25" s="110" t="str">
        <f>IF(大板!E31="","",大板!E31)</f>
        <v/>
      </c>
      <c r="H25" s="110" t="str">
        <f t="shared" si="2"/>
        <v/>
      </c>
      <c r="I25" s="110" t="str">
        <f>IF(大板!F31="","",大板!F31)</f>
        <v/>
      </c>
      <c r="J25" s="110" t="str">
        <f t="shared" si="3"/>
        <v/>
      </c>
      <c r="K25" s="111" t="str">
        <f>TEXT(大板!I31,"#0.00;;;")</f>
        <v/>
      </c>
    </row>
    <row r="26" spans="2:12" ht="18" thickBot="1">
      <c r="B26" s="108" t="str">
        <f>IF(ISNUMBER(C26),"20","")</f>
        <v/>
      </c>
      <c r="C26" s="109" t="str">
        <f>IF(大板!B34="","",大板!B34)</f>
        <v/>
      </c>
      <c r="D26" s="109" t="str">
        <f t="shared" si="0"/>
        <v/>
      </c>
      <c r="E26" s="109" t="str">
        <f>IF(大板!C34="","",大板!C34)</f>
        <v/>
      </c>
      <c r="F26" s="110" t="str">
        <f t="shared" si="1"/>
        <v/>
      </c>
      <c r="G26" s="110" t="str">
        <f>IF(大板!E34="","",大板!E34)</f>
        <v/>
      </c>
      <c r="H26" s="110" t="str">
        <f t="shared" si="2"/>
        <v/>
      </c>
      <c r="I26" s="110" t="str">
        <f>IF(大板!F34="","",大板!F34)</f>
        <v/>
      </c>
      <c r="J26" s="110" t="str">
        <f t="shared" si="3"/>
        <v/>
      </c>
      <c r="K26" s="111" t="str">
        <f>TEXT(大板!I34,"#0.00;;;")</f>
        <v/>
      </c>
    </row>
    <row r="27" spans="2:12" s="118" customFormat="1" ht="33" customHeight="1">
      <c r="B27" s="162" t="str">
        <f>"第 1 夹，"&amp;大板!G35&amp;" 件, "&amp;TEXT(大板!I35,"0.00")&amp;" ㎡"</f>
        <v>第 1 夹，0 件, 0.00 ㎡</v>
      </c>
      <c r="C27" s="162"/>
      <c r="D27" s="162"/>
      <c r="E27" s="162"/>
      <c r="F27" s="162"/>
      <c r="G27" s="162"/>
      <c r="H27" s="162"/>
      <c r="I27" s="162"/>
      <c r="J27" s="162"/>
      <c r="K27" s="162"/>
      <c r="L27" s="162"/>
    </row>
    <row r="28" spans="2:12" ht="24" customHeight="1"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</row>
    <row r="29" spans="2:12" ht="9" customHeight="1">
      <c r="B29" s="108"/>
      <c r="C29" s="109"/>
      <c r="D29" s="109"/>
      <c r="E29" s="109"/>
      <c r="F29" s="110"/>
      <c r="G29" s="110"/>
      <c r="H29" s="110"/>
      <c r="I29" s="110"/>
      <c r="J29" s="110"/>
      <c r="K29" s="110"/>
    </row>
    <row r="30" spans="2:12" ht="17.399999999999999">
      <c r="B30" s="108" t="str">
        <f>TEXT(C30,"1;1;;")</f>
        <v/>
      </c>
      <c r="C30" s="109" t="str">
        <f>IF(大板!L13="","",大板!L13)</f>
        <v/>
      </c>
      <c r="D30" s="109" t="str">
        <f>IF(ISNUMBER(C30),"*","")</f>
        <v/>
      </c>
      <c r="E30" s="109" t="str">
        <f>IF(大板!M13="","",大板!M13)</f>
        <v/>
      </c>
      <c r="F30" s="110" t="str">
        <f>IF(ISNUMBER(G30),"(","")</f>
        <v/>
      </c>
      <c r="G30" s="110" t="str">
        <f>IF(大板!O13="","",大板!O13)</f>
        <v/>
      </c>
      <c r="H30" s="110" t="str">
        <f>IF(ISNUMBER(G30),"*","")</f>
        <v/>
      </c>
      <c r="I30" s="110" t="str">
        <f>IF(大板!P13="","",大板!P13)</f>
        <v/>
      </c>
      <c r="J30" s="110" t="str">
        <f>IF(ISNUMBER(I30),")","")</f>
        <v/>
      </c>
      <c r="K30" s="111" t="str">
        <f>TEXT(大板!S13,"#0.00;;;")</f>
        <v/>
      </c>
    </row>
    <row r="31" spans="2:12" ht="17.399999999999999">
      <c r="B31" s="108" t="str">
        <f>TEXT(C31,"2;;;")</f>
        <v/>
      </c>
      <c r="C31" s="109" t="str">
        <f>IF(大板!L14="","",大板!L14)</f>
        <v/>
      </c>
      <c r="D31" s="109" t="str">
        <f t="shared" ref="D31:D49" si="4">IF(ISNUMBER(C31),"*","")</f>
        <v/>
      </c>
      <c r="E31" s="109" t="str">
        <f>IF(大板!M14="","",大板!M14)</f>
        <v/>
      </c>
      <c r="F31" s="110" t="str">
        <f t="shared" ref="F31:F49" si="5">IF(ISNUMBER(G31),"(","")</f>
        <v/>
      </c>
      <c r="G31" s="110" t="str">
        <f>IF(大板!O14="","",大板!O14)</f>
        <v/>
      </c>
      <c r="H31" s="110" t="str">
        <f t="shared" ref="H31:H49" si="6">IF(ISNUMBER(G31),"*","")</f>
        <v/>
      </c>
      <c r="I31" s="110" t="str">
        <f>IF(大板!P14="","",大板!P14)</f>
        <v/>
      </c>
      <c r="J31" s="110" t="str">
        <f t="shared" ref="J31:J49" si="7">IF(ISNUMBER(I31),")","")</f>
        <v/>
      </c>
      <c r="K31" s="111" t="str">
        <f>TEXT(大板!S14,"#0.00;;;")</f>
        <v/>
      </c>
    </row>
    <row r="32" spans="2:12" ht="17.399999999999999">
      <c r="B32" s="108" t="str">
        <f>TEXT(C32,"3;;;")</f>
        <v/>
      </c>
      <c r="C32" s="109" t="str">
        <f>IF(大板!L15="","",大板!L15)</f>
        <v/>
      </c>
      <c r="D32" s="109" t="str">
        <f t="shared" si="4"/>
        <v/>
      </c>
      <c r="E32" s="109" t="str">
        <f>IF(大板!M15="","",大板!M15)</f>
        <v/>
      </c>
      <c r="F32" s="110" t="str">
        <f t="shared" si="5"/>
        <v/>
      </c>
      <c r="G32" s="110" t="str">
        <f>IF(大板!O15="","",大板!O15)</f>
        <v/>
      </c>
      <c r="H32" s="110" t="str">
        <f t="shared" si="6"/>
        <v/>
      </c>
      <c r="I32" s="110" t="str">
        <f>IF(大板!P15="","",大板!P15)</f>
        <v/>
      </c>
      <c r="J32" s="110" t="str">
        <f t="shared" si="7"/>
        <v/>
      </c>
      <c r="K32" s="111" t="str">
        <f>TEXT(大板!S15,"#0.00;;;")</f>
        <v/>
      </c>
    </row>
    <row r="33" spans="2:11" ht="17.399999999999999">
      <c r="B33" s="108" t="str">
        <f>TEXT(C33,"4;;;")</f>
        <v/>
      </c>
      <c r="C33" s="109" t="str">
        <f>IF(大板!L16="","",大板!L16)</f>
        <v/>
      </c>
      <c r="D33" s="109" t="str">
        <f t="shared" si="4"/>
        <v/>
      </c>
      <c r="E33" s="109" t="str">
        <f>IF(大板!M16="","",大板!M16)</f>
        <v/>
      </c>
      <c r="F33" s="110" t="str">
        <f t="shared" si="5"/>
        <v/>
      </c>
      <c r="G33" s="110" t="str">
        <f>IF(大板!O16="","",大板!O16)</f>
        <v/>
      </c>
      <c r="H33" s="110" t="str">
        <f t="shared" si="6"/>
        <v/>
      </c>
      <c r="I33" s="110" t="str">
        <f>IF(大板!P16="","",大板!P16)</f>
        <v/>
      </c>
      <c r="J33" s="110" t="str">
        <f t="shared" si="7"/>
        <v/>
      </c>
      <c r="K33" s="111" t="str">
        <f>TEXT(大板!S16,"#0.00;;;")</f>
        <v/>
      </c>
    </row>
    <row r="34" spans="2:11" ht="17.399999999999999">
      <c r="B34" s="108" t="str">
        <f>TEXT(C34,"5;;;")</f>
        <v/>
      </c>
      <c r="C34" s="109" t="str">
        <f>IF(大板!L17="","",大板!L17)</f>
        <v/>
      </c>
      <c r="D34" s="109" t="str">
        <f t="shared" si="4"/>
        <v/>
      </c>
      <c r="E34" s="109" t="str">
        <f>IF(大板!M17="","",大板!M17)</f>
        <v/>
      </c>
      <c r="F34" s="110" t="str">
        <f t="shared" si="5"/>
        <v/>
      </c>
      <c r="G34" s="110" t="str">
        <f>IF(大板!O17="","",大板!O17)</f>
        <v/>
      </c>
      <c r="H34" s="110" t="str">
        <f t="shared" si="6"/>
        <v/>
      </c>
      <c r="I34" s="110" t="str">
        <f>IF(大板!P17="","",大板!P17)</f>
        <v/>
      </c>
      <c r="J34" s="110" t="str">
        <f t="shared" si="7"/>
        <v/>
      </c>
      <c r="K34" s="111" t="str">
        <f>TEXT(大板!S17,"#0.00;;;")</f>
        <v/>
      </c>
    </row>
    <row r="35" spans="2:11" ht="17.399999999999999">
      <c r="B35" s="108" t="str">
        <f>TEXT(C35,"6;;;")</f>
        <v/>
      </c>
      <c r="C35" s="109" t="str">
        <f>IF(大板!L18="","",大板!L18)</f>
        <v/>
      </c>
      <c r="D35" s="109" t="str">
        <f t="shared" si="4"/>
        <v/>
      </c>
      <c r="E35" s="109" t="str">
        <f>IF(大板!M18="","",大板!M18)</f>
        <v/>
      </c>
      <c r="F35" s="110" t="str">
        <f t="shared" si="5"/>
        <v/>
      </c>
      <c r="G35" s="110" t="str">
        <f>IF(大板!O18="","",大板!O18)</f>
        <v/>
      </c>
      <c r="H35" s="110" t="str">
        <f t="shared" si="6"/>
        <v/>
      </c>
      <c r="I35" s="110" t="str">
        <f>IF(大板!P18="","",大板!P18)</f>
        <v/>
      </c>
      <c r="J35" s="110" t="str">
        <f t="shared" si="7"/>
        <v/>
      </c>
      <c r="K35" s="111" t="str">
        <f>TEXT(大板!S18,"#0.00;;;")</f>
        <v/>
      </c>
    </row>
    <row r="36" spans="2:11" ht="17.399999999999999">
      <c r="B36" s="108" t="str">
        <f>TEXT(C36,"7;;;")</f>
        <v/>
      </c>
      <c r="C36" s="109" t="str">
        <f>IF(大板!L19="","",大板!L19)</f>
        <v/>
      </c>
      <c r="D36" s="109" t="str">
        <f t="shared" si="4"/>
        <v/>
      </c>
      <c r="E36" s="109" t="str">
        <f>IF(大板!M19="","",大板!M19)</f>
        <v/>
      </c>
      <c r="F36" s="110" t="str">
        <f t="shared" si="5"/>
        <v/>
      </c>
      <c r="G36" s="110" t="str">
        <f>IF(大板!O19="","",大板!O19)</f>
        <v/>
      </c>
      <c r="H36" s="110" t="str">
        <f t="shared" si="6"/>
        <v/>
      </c>
      <c r="I36" s="110" t="str">
        <f>IF(大板!P19="","",大板!P19)</f>
        <v/>
      </c>
      <c r="J36" s="110" t="str">
        <f t="shared" si="7"/>
        <v/>
      </c>
      <c r="K36" s="111" t="str">
        <f>TEXT(大板!S19,"#0.00;;;")</f>
        <v/>
      </c>
    </row>
    <row r="37" spans="2:11" ht="17.399999999999999">
      <c r="B37" s="108" t="str">
        <f>TEXT(C37,"8;;;")</f>
        <v/>
      </c>
      <c r="C37" s="109" t="str">
        <f>IF(大板!L20="","",大板!L20)</f>
        <v/>
      </c>
      <c r="D37" s="109" t="str">
        <f t="shared" si="4"/>
        <v/>
      </c>
      <c r="E37" s="109" t="str">
        <f>IF(大板!M20="","",大板!M20)</f>
        <v/>
      </c>
      <c r="F37" s="110" t="str">
        <f t="shared" si="5"/>
        <v/>
      </c>
      <c r="G37" s="110" t="str">
        <f>IF(大板!O20="","",大板!O20)</f>
        <v/>
      </c>
      <c r="H37" s="110" t="str">
        <f t="shared" si="6"/>
        <v/>
      </c>
      <c r="I37" s="110" t="str">
        <f>IF(大板!P20="","",大板!P20)</f>
        <v/>
      </c>
      <c r="J37" s="110" t="str">
        <f t="shared" si="7"/>
        <v/>
      </c>
      <c r="K37" s="111" t="str">
        <f>TEXT(大板!S20,"#0.00;;;")</f>
        <v/>
      </c>
    </row>
    <row r="38" spans="2:11" ht="17.399999999999999">
      <c r="B38" s="108" t="str">
        <f>TEXT(C38,"9;;;")</f>
        <v/>
      </c>
      <c r="C38" s="109" t="str">
        <f>IF(大板!L21="","",大板!L21)</f>
        <v/>
      </c>
      <c r="D38" s="109" t="str">
        <f t="shared" si="4"/>
        <v/>
      </c>
      <c r="E38" s="109" t="str">
        <f>IF(大板!M21="","",大板!M21)</f>
        <v/>
      </c>
      <c r="F38" s="110" t="str">
        <f t="shared" si="5"/>
        <v/>
      </c>
      <c r="G38" s="110" t="str">
        <f>IF(大板!O21="","",大板!O21)</f>
        <v/>
      </c>
      <c r="H38" s="110" t="str">
        <f t="shared" si="6"/>
        <v/>
      </c>
      <c r="I38" s="110" t="str">
        <f>IF(大板!P21="","",大板!P21)</f>
        <v/>
      </c>
      <c r="J38" s="110" t="str">
        <f t="shared" si="7"/>
        <v/>
      </c>
      <c r="K38" s="111" t="str">
        <f>TEXT(大板!S21,"#0.00;;;")</f>
        <v/>
      </c>
    </row>
    <row r="39" spans="2:11" ht="17.399999999999999">
      <c r="B39" s="108" t="str">
        <f>IF(ISNUMBER(C39),"10","")</f>
        <v/>
      </c>
      <c r="C39" s="109" t="str">
        <f>IF(大板!L22="","",大板!L22)</f>
        <v/>
      </c>
      <c r="D39" s="109" t="str">
        <f t="shared" si="4"/>
        <v/>
      </c>
      <c r="E39" s="109" t="str">
        <f>IF(大板!M22="","",大板!M22)</f>
        <v/>
      </c>
      <c r="F39" s="110" t="str">
        <f t="shared" si="5"/>
        <v/>
      </c>
      <c r="G39" s="110" t="str">
        <f>IF(大板!O22="","",大板!O22)</f>
        <v/>
      </c>
      <c r="H39" s="110" t="str">
        <f t="shared" si="6"/>
        <v/>
      </c>
      <c r="I39" s="110" t="str">
        <f>IF(大板!P22="","",大板!P22)</f>
        <v/>
      </c>
      <c r="J39" s="110" t="str">
        <f t="shared" si="7"/>
        <v/>
      </c>
      <c r="K39" s="111" t="str">
        <f>TEXT(大板!S22,"#0.00;;;")</f>
        <v/>
      </c>
    </row>
    <row r="40" spans="2:11" ht="17.399999999999999">
      <c r="B40" s="108" t="str">
        <f>TEXT(C40,"11;;;")</f>
        <v/>
      </c>
      <c r="C40" s="109" t="str">
        <f>IF(大板!L23="","",大板!L23)</f>
        <v/>
      </c>
      <c r="D40" s="109" t="str">
        <f t="shared" si="4"/>
        <v/>
      </c>
      <c r="E40" s="109" t="str">
        <f>IF(大板!M23="","",大板!M23)</f>
        <v/>
      </c>
      <c r="F40" s="110" t="str">
        <f t="shared" si="5"/>
        <v/>
      </c>
      <c r="G40" s="110" t="str">
        <f>IF(大板!O23="","",大板!O23)</f>
        <v/>
      </c>
      <c r="H40" s="110" t="str">
        <f t="shared" si="6"/>
        <v/>
      </c>
      <c r="I40" s="110" t="str">
        <f>IF(大板!P23="","",大板!P23)</f>
        <v/>
      </c>
      <c r="J40" s="110" t="str">
        <f t="shared" si="7"/>
        <v/>
      </c>
      <c r="K40" s="111" t="str">
        <f>TEXT(大板!S23,"#0.00;;;")</f>
        <v/>
      </c>
    </row>
    <row r="41" spans="2:11" ht="17.399999999999999">
      <c r="B41" s="108" t="str">
        <f>TEXT(C41,"12;;;")</f>
        <v/>
      </c>
      <c r="C41" s="109" t="str">
        <f>IF(大板!L24="","",大板!L24)</f>
        <v/>
      </c>
      <c r="D41" s="109" t="str">
        <f t="shared" si="4"/>
        <v/>
      </c>
      <c r="E41" s="109" t="str">
        <f>IF(大板!M24="","",大板!M24)</f>
        <v/>
      </c>
      <c r="F41" s="110" t="str">
        <f t="shared" si="5"/>
        <v/>
      </c>
      <c r="G41" s="110" t="str">
        <f>IF(大板!O24="","",大板!O24)</f>
        <v/>
      </c>
      <c r="H41" s="110" t="str">
        <f t="shared" si="6"/>
        <v/>
      </c>
      <c r="I41" s="110" t="str">
        <f>IF(大板!P24="","",大板!P24)</f>
        <v/>
      </c>
      <c r="J41" s="110" t="str">
        <f t="shared" si="7"/>
        <v/>
      </c>
      <c r="K41" s="111" t="str">
        <f>TEXT(大板!S24,"#0.00;;;")</f>
        <v/>
      </c>
    </row>
    <row r="42" spans="2:11" ht="17.399999999999999">
      <c r="B42" s="108" t="str">
        <f>TEXT(C42,"13;;;")</f>
        <v/>
      </c>
      <c r="C42" s="109" t="str">
        <f>IF(大板!L25="","",大板!L25)</f>
        <v/>
      </c>
      <c r="D42" s="109" t="str">
        <f t="shared" si="4"/>
        <v/>
      </c>
      <c r="E42" s="109" t="str">
        <f>IF(大板!M25="","",大板!M25)</f>
        <v/>
      </c>
      <c r="F42" s="110" t="str">
        <f t="shared" si="5"/>
        <v/>
      </c>
      <c r="G42" s="110" t="str">
        <f>IF(大板!O25="","",大板!O25)</f>
        <v/>
      </c>
      <c r="H42" s="110" t="str">
        <f t="shared" si="6"/>
        <v/>
      </c>
      <c r="I42" s="110" t="str">
        <f>IF(大板!P25="","",大板!P25)</f>
        <v/>
      </c>
      <c r="J42" s="110" t="str">
        <f t="shared" si="7"/>
        <v/>
      </c>
      <c r="K42" s="111" t="str">
        <f>TEXT(大板!S25,"#0.00;;;")</f>
        <v/>
      </c>
    </row>
    <row r="43" spans="2:11" ht="17.399999999999999">
      <c r="B43" s="108" t="str">
        <f>TEXT(C43,"14;;;")</f>
        <v/>
      </c>
      <c r="C43" s="109" t="str">
        <f>IF(大板!L26="","",大板!L26)</f>
        <v/>
      </c>
      <c r="D43" s="109" t="str">
        <f t="shared" si="4"/>
        <v/>
      </c>
      <c r="E43" s="109" t="str">
        <f>IF(大板!M26="","",大板!M26)</f>
        <v/>
      </c>
      <c r="F43" s="110" t="str">
        <f t="shared" si="5"/>
        <v/>
      </c>
      <c r="G43" s="110" t="str">
        <f>IF(大板!O26="","",大板!O26)</f>
        <v/>
      </c>
      <c r="H43" s="110" t="str">
        <f t="shared" si="6"/>
        <v/>
      </c>
      <c r="I43" s="110" t="str">
        <f>IF(大板!P26="","",大板!P26)</f>
        <v/>
      </c>
      <c r="J43" s="110" t="str">
        <f t="shared" si="7"/>
        <v/>
      </c>
      <c r="K43" s="111" t="str">
        <f>TEXT(大板!S26,"#0.00;;;")</f>
        <v/>
      </c>
    </row>
    <row r="44" spans="2:11" ht="17.399999999999999">
      <c r="B44" s="108" t="str">
        <f>TEXT(C44,"15;;;")</f>
        <v/>
      </c>
      <c r="C44" s="109" t="str">
        <f>IF(大板!L27="","",大板!L27)</f>
        <v/>
      </c>
      <c r="D44" s="109" t="str">
        <f t="shared" si="4"/>
        <v/>
      </c>
      <c r="E44" s="109" t="str">
        <f>IF(大板!M27="","",大板!M27)</f>
        <v/>
      </c>
      <c r="F44" s="110" t="str">
        <f t="shared" si="5"/>
        <v/>
      </c>
      <c r="G44" s="110" t="str">
        <f>IF(大板!O27="","",大板!O27)</f>
        <v/>
      </c>
      <c r="H44" s="110" t="str">
        <f t="shared" si="6"/>
        <v/>
      </c>
      <c r="I44" s="110" t="str">
        <f>IF(大板!P27="","",大板!P27)</f>
        <v/>
      </c>
      <c r="J44" s="110" t="str">
        <f t="shared" si="7"/>
        <v/>
      </c>
      <c r="K44" s="111" t="str">
        <f>TEXT(大板!S27,"#0.00;;;")</f>
        <v/>
      </c>
    </row>
    <row r="45" spans="2:11" ht="17.399999999999999">
      <c r="B45" s="108" t="str">
        <f>TEXT(C45,"16;;;")</f>
        <v/>
      </c>
      <c r="C45" s="109" t="str">
        <f>IF(大板!L28="","",大板!L28)</f>
        <v/>
      </c>
      <c r="D45" s="109" t="str">
        <f t="shared" si="4"/>
        <v/>
      </c>
      <c r="E45" s="109" t="str">
        <f>IF(大板!M28="","",大板!M28)</f>
        <v/>
      </c>
      <c r="F45" s="110" t="str">
        <f t="shared" si="5"/>
        <v/>
      </c>
      <c r="G45" s="110" t="str">
        <f>IF(大板!O28="","",大板!O28)</f>
        <v/>
      </c>
      <c r="H45" s="110" t="str">
        <f t="shared" si="6"/>
        <v/>
      </c>
      <c r="I45" s="110" t="str">
        <f>IF(大板!P28="","",大板!P28)</f>
        <v/>
      </c>
      <c r="J45" s="110" t="str">
        <f t="shared" si="7"/>
        <v/>
      </c>
      <c r="K45" s="111" t="str">
        <f>TEXT(大板!S28,"#0.00;;;")</f>
        <v/>
      </c>
    </row>
    <row r="46" spans="2:11" ht="17.399999999999999">
      <c r="B46" s="108" t="str">
        <f>TEXT(C46,"17;;;")</f>
        <v/>
      </c>
      <c r="C46" s="109" t="str">
        <f>IF(大板!L29="","",大板!L29)</f>
        <v/>
      </c>
      <c r="D46" s="109" t="str">
        <f t="shared" si="4"/>
        <v/>
      </c>
      <c r="E46" s="109" t="str">
        <f>IF(大板!M29="","",大板!M29)</f>
        <v/>
      </c>
      <c r="F46" s="110" t="str">
        <f t="shared" si="5"/>
        <v/>
      </c>
      <c r="G46" s="110" t="str">
        <f>IF(大板!O29="","",大板!O29)</f>
        <v/>
      </c>
      <c r="H46" s="110" t="str">
        <f t="shared" si="6"/>
        <v/>
      </c>
      <c r="I46" s="110" t="str">
        <f>IF(大板!P29="","",大板!P29)</f>
        <v/>
      </c>
      <c r="J46" s="110" t="str">
        <f t="shared" si="7"/>
        <v/>
      </c>
      <c r="K46" s="111" t="str">
        <f>TEXT(大板!S29,"#0.00;;;")</f>
        <v/>
      </c>
    </row>
    <row r="47" spans="2:11" ht="17.399999999999999">
      <c r="B47" s="108" t="str">
        <f>TEXT(C47,"18;;;")</f>
        <v/>
      </c>
      <c r="C47" s="109" t="str">
        <f>IF(大板!L30="","",大板!L30)</f>
        <v/>
      </c>
      <c r="D47" s="109" t="str">
        <f t="shared" si="4"/>
        <v/>
      </c>
      <c r="E47" s="109" t="str">
        <f>IF(大板!M30="","",大板!M30)</f>
        <v/>
      </c>
      <c r="F47" s="110" t="str">
        <f t="shared" si="5"/>
        <v/>
      </c>
      <c r="G47" s="110" t="str">
        <f>IF(大板!O30="","",大板!O30)</f>
        <v/>
      </c>
      <c r="H47" s="110" t="str">
        <f t="shared" si="6"/>
        <v/>
      </c>
      <c r="I47" s="110" t="str">
        <f>IF(大板!P30="","",大板!P30)</f>
        <v/>
      </c>
      <c r="J47" s="110" t="str">
        <f t="shared" si="7"/>
        <v/>
      </c>
      <c r="K47" s="111" t="str">
        <f>TEXT(大板!S30,"#0.00;;;")</f>
        <v/>
      </c>
    </row>
    <row r="48" spans="2:11" ht="17.399999999999999">
      <c r="B48" s="108" t="str">
        <f>TEXT(C48,"19;;;")</f>
        <v/>
      </c>
      <c r="C48" s="109" t="str">
        <f>IF(大板!L31="","",大板!L31)</f>
        <v/>
      </c>
      <c r="D48" s="109" t="str">
        <f t="shared" si="4"/>
        <v/>
      </c>
      <c r="E48" s="109" t="str">
        <f>IF(大板!M31="","",大板!M31)</f>
        <v/>
      </c>
      <c r="F48" s="110" t="str">
        <f t="shared" si="5"/>
        <v/>
      </c>
      <c r="G48" s="110" t="str">
        <f>IF(大板!O31="","",大板!O31)</f>
        <v/>
      </c>
      <c r="H48" s="110" t="str">
        <f t="shared" si="6"/>
        <v/>
      </c>
      <c r="I48" s="110" t="str">
        <f>IF(大板!P31="","",大板!P31)</f>
        <v/>
      </c>
      <c r="J48" s="110" t="str">
        <f t="shared" si="7"/>
        <v/>
      </c>
      <c r="K48" s="111" t="str">
        <f>TEXT(大板!S31,"#0.00;;;")</f>
        <v/>
      </c>
    </row>
    <row r="49" spans="2:12" ht="18" thickBot="1">
      <c r="B49" s="108" t="str">
        <f>IF(ISNUMBER(C49),"20","")</f>
        <v/>
      </c>
      <c r="C49" s="109" t="str">
        <f>IF(大板!L34="","",大板!L34)</f>
        <v/>
      </c>
      <c r="D49" s="109" t="str">
        <f t="shared" si="4"/>
        <v/>
      </c>
      <c r="E49" s="109" t="str">
        <f>IF(大板!M34="","",大板!M34)</f>
        <v/>
      </c>
      <c r="F49" s="110" t="str">
        <f t="shared" si="5"/>
        <v/>
      </c>
      <c r="G49" s="110" t="str">
        <f>IF(大板!O34="","",大板!O34)</f>
        <v/>
      </c>
      <c r="H49" s="110" t="str">
        <f t="shared" si="6"/>
        <v/>
      </c>
      <c r="I49" s="110" t="str">
        <f>IF(大板!P34="","",大板!P34)</f>
        <v/>
      </c>
      <c r="J49" s="110" t="str">
        <f t="shared" si="7"/>
        <v/>
      </c>
      <c r="K49" s="111" t="str">
        <f>TEXT(大板!S34,"#0.00;;;")</f>
        <v/>
      </c>
    </row>
    <row r="50" spans="2:12" s="118" customFormat="1" ht="33" customHeight="1">
      <c r="B50" s="162" t="str">
        <f>"第 2 夹，"&amp;大板!Q35&amp;"件, "&amp;TEXT(大板!S35,"0.00")&amp;" ㎡"</f>
        <v>第 2 夹，0件, 0.00 ㎡</v>
      </c>
      <c r="C50" s="162"/>
      <c r="D50" s="162"/>
      <c r="E50" s="162"/>
      <c r="F50" s="162"/>
      <c r="G50" s="162"/>
      <c r="H50" s="162"/>
      <c r="I50" s="162"/>
      <c r="J50" s="162"/>
      <c r="K50" s="162"/>
      <c r="L50" s="162"/>
    </row>
    <row r="51" spans="2:12" ht="24.6" customHeight="1"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</row>
    <row r="52" spans="2:12" ht="9" customHeight="1">
      <c r="B52" s="108"/>
      <c r="C52" s="109"/>
      <c r="D52" s="109"/>
      <c r="E52" s="109"/>
      <c r="F52" s="110"/>
      <c r="G52" s="110"/>
      <c r="H52" s="110"/>
      <c r="I52" s="110"/>
      <c r="J52" s="110"/>
      <c r="K52" s="110"/>
    </row>
    <row r="53" spans="2:12" ht="17.399999999999999">
      <c r="B53" s="108" t="str">
        <f>TEXT(C53,"1;1;;")</f>
        <v/>
      </c>
      <c r="C53" s="109" t="str">
        <f>IF(大板!B40="","",大板!B40)</f>
        <v/>
      </c>
      <c r="D53" s="109" t="str">
        <f>IF(ISNUMBER(C53),"*","")</f>
        <v/>
      </c>
      <c r="E53" s="109" t="str">
        <f>IF(大板!C40="","",大板!C40)</f>
        <v/>
      </c>
      <c r="F53" s="110" t="str">
        <f>IF(ISNUMBER(G53),"(","")</f>
        <v/>
      </c>
      <c r="G53" s="110" t="str">
        <f>IF(大板!E40="","",大板!E40)</f>
        <v/>
      </c>
      <c r="H53" s="110" t="str">
        <f>IF(ISNUMBER(G53),"*","")</f>
        <v/>
      </c>
      <c r="I53" s="110" t="str">
        <f>IF(大板!F40="","",大板!F40)</f>
        <v/>
      </c>
      <c r="J53" s="110" t="str">
        <f>IF(ISNUMBER(I53),")","")</f>
        <v/>
      </c>
      <c r="K53" s="111" t="str">
        <f>TEXT(大板!I40,"#0.00;;;")</f>
        <v/>
      </c>
    </row>
    <row r="54" spans="2:12" ht="17.399999999999999">
      <c r="B54" s="108" t="str">
        <f>TEXT(C54,"2;;;")</f>
        <v/>
      </c>
      <c r="C54" s="109" t="str">
        <f>IF(大板!B41="","",大板!B41)</f>
        <v/>
      </c>
      <c r="D54" s="109" t="str">
        <f t="shared" ref="D54:D72" si="8">IF(ISNUMBER(C54),"*","")</f>
        <v/>
      </c>
      <c r="E54" s="109" t="str">
        <f>IF(大板!C41="","",大板!C41)</f>
        <v/>
      </c>
      <c r="F54" s="110" t="str">
        <f t="shared" ref="F54:F72" si="9">IF(ISNUMBER(G54),"(","")</f>
        <v/>
      </c>
      <c r="G54" s="110" t="str">
        <f>IF(大板!E41="","",大板!E41)</f>
        <v/>
      </c>
      <c r="H54" s="110" t="str">
        <f t="shared" ref="H54:H72" si="10">IF(ISNUMBER(G54),"*","")</f>
        <v/>
      </c>
      <c r="I54" s="110" t="str">
        <f>IF(大板!F41="","",大板!F41)</f>
        <v/>
      </c>
      <c r="J54" s="110" t="str">
        <f t="shared" ref="J54:J72" si="11">IF(ISNUMBER(I54),")","")</f>
        <v/>
      </c>
      <c r="K54" s="111" t="str">
        <f>TEXT(大板!I41,"#0.00;;;")</f>
        <v/>
      </c>
    </row>
    <row r="55" spans="2:12" ht="17.399999999999999">
      <c r="B55" s="108" t="str">
        <f>TEXT(C55,"3;;;")</f>
        <v/>
      </c>
      <c r="C55" s="109" t="str">
        <f>IF(大板!B42="","",大板!B42)</f>
        <v/>
      </c>
      <c r="D55" s="109" t="str">
        <f t="shared" si="8"/>
        <v/>
      </c>
      <c r="E55" s="109" t="str">
        <f>IF(大板!C42="","",大板!C42)</f>
        <v/>
      </c>
      <c r="F55" s="110" t="str">
        <f t="shared" si="9"/>
        <v/>
      </c>
      <c r="G55" s="110" t="str">
        <f>IF(大板!E42="","",大板!E42)</f>
        <v/>
      </c>
      <c r="H55" s="110" t="str">
        <f t="shared" si="10"/>
        <v/>
      </c>
      <c r="I55" s="110" t="str">
        <f>IF(大板!F42="","",大板!F42)</f>
        <v/>
      </c>
      <c r="J55" s="110" t="str">
        <f t="shared" si="11"/>
        <v/>
      </c>
      <c r="K55" s="111" t="str">
        <f>TEXT(大板!I42,"#0.00;;;")</f>
        <v/>
      </c>
    </row>
    <row r="56" spans="2:12" ht="17.399999999999999">
      <c r="B56" s="108" t="str">
        <f>TEXT(C56,"4;;;")</f>
        <v/>
      </c>
      <c r="C56" s="109" t="str">
        <f>IF(大板!B43="","",大板!B43)</f>
        <v/>
      </c>
      <c r="D56" s="109" t="str">
        <f t="shared" si="8"/>
        <v/>
      </c>
      <c r="E56" s="109" t="str">
        <f>IF(大板!C43="","",大板!C43)</f>
        <v/>
      </c>
      <c r="F56" s="110" t="str">
        <f t="shared" si="9"/>
        <v/>
      </c>
      <c r="G56" s="110" t="str">
        <f>IF(大板!E43="","",大板!E43)</f>
        <v/>
      </c>
      <c r="H56" s="110" t="str">
        <f t="shared" si="10"/>
        <v/>
      </c>
      <c r="I56" s="110" t="str">
        <f>IF(大板!F43="","",大板!F43)</f>
        <v/>
      </c>
      <c r="J56" s="110" t="str">
        <f t="shared" si="11"/>
        <v/>
      </c>
      <c r="K56" s="111" t="str">
        <f>TEXT(大板!I43,"#0.00;;;")</f>
        <v/>
      </c>
    </row>
    <row r="57" spans="2:12" ht="17.399999999999999">
      <c r="B57" s="108" t="str">
        <f>TEXT(C57,"5;;;")</f>
        <v/>
      </c>
      <c r="C57" s="109" t="str">
        <f>IF(大板!B44="","",大板!B44)</f>
        <v/>
      </c>
      <c r="D57" s="109" t="str">
        <f t="shared" si="8"/>
        <v/>
      </c>
      <c r="E57" s="109" t="str">
        <f>IF(大板!C44="","",大板!C44)</f>
        <v/>
      </c>
      <c r="F57" s="110" t="str">
        <f t="shared" si="9"/>
        <v/>
      </c>
      <c r="G57" s="110" t="str">
        <f>IF(大板!E44="","",大板!E44)</f>
        <v/>
      </c>
      <c r="H57" s="110" t="str">
        <f t="shared" si="10"/>
        <v/>
      </c>
      <c r="I57" s="110" t="str">
        <f>IF(大板!F44="","",大板!F44)</f>
        <v/>
      </c>
      <c r="J57" s="110" t="str">
        <f t="shared" si="11"/>
        <v/>
      </c>
      <c r="K57" s="111" t="str">
        <f>TEXT(大板!I44,"#0.00;;;")</f>
        <v/>
      </c>
    </row>
    <row r="58" spans="2:12" ht="17.399999999999999">
      <c r="B58" s="108" t="str">
        <f>TEXT(C58,"6;;;")</f>
        <v/>
      </c>
      <c r="C58" s="109" t="str">
        <f>IF(大板!B45="","",大板!B45)</f>
        <v/>
      </c>
      <c r="D58" s="109" t="str">
        <f t="shared" si="8"/>
        <v/>
      </c>
      <c r="E58" s="109" t="str">
        <f>IF(大板!C45="","",大板!C45)</f>
        <v/>
      </c>
      <c r="F58" s="110" t="str">
        <f t="shared" si="9"/>
        <v/>
      </c>
      <c r="G58" s="110" t="str">
        <f>IF(大板!E45="","",大板!E45)</f>
        <v/>
      </c>
      <c r="H58" s="110" t="str">
        <f t="shared" si="10"/>
        <v/>
      </c>
      <c r="I58" s="110" t="str">
        <f>IF(大板!F45="","",大板!F45)</f>
        <v/>
      </c>
      <c r="J58" s="110" t="str">
        <f t="shared" si="11"/>
        <v/>
      </c>
      <c r="K58" s="111" t="str">
        <f>TEXT(大板!I45,"#0.00;;;")</f>
        <v/>
      </c>
    </row>
    <row r="59" spans="2:12" ht="17.399999999999999">
      <c r="B59" s="108" t="str">
        <f>TEXT(C59,"7;;;")</f>
        <v/>
      </c>
      <c r="C59" s="109" t="str">
        <f>IF(大板!B46="","",大板!B46)</f>
        <v/>
      </c>
      <c r="D59" s="109" t="str">
        <f t="shared" si="8"/>
        <v/>
      </c>
      <c r="E59" s="109" t="str">
        <f>IF(大板!C46="","",大板!C46)</f>
        <v/>
      </c>
      <c r="F59" s="110" t="str">
        <f t="shared" si="9"/>
        <v/>
      </c>
      <c r="G59" s="110" t="str">
        <f>IF(大板!E46="","",大板!E46)</f>
        <v/>
      </c>
      <c r="H59" s="110" t="str">
        <f t="shared" si="10"/>
        <v/>
      </c>
      <c r="I59" s="110" t="str">
        <f>IF(大板!F46="","",大板!F46)</f>
        <v/>
      </c>
      <c r="J59" s="110" t="str">
        <f t="shared" si="11"/>
        <v/>
      </c>
      <c r="K59" s="111" t="str">
        <f>TEXT(大板!I46,"#0.00;;;")</f>
        <v/>
      </c>
    </row>
    <row r="60" spans="2:12" ht="17.399999999999999">
      <c r="B60" s="108" t="str">
        <f>TEXT(C60,"8;;;")</f>
        <v/>
      </c>
      <c r="C60" s="109" t="str">
        <f>IF(大板!B47="","",大板!B47)</f>
        <v/>
      </c>
      <c r="D60" s="109" t="str">
        <f t="shared" si="8"/>
        <v/>
      </c>
      <c r="E60" s="109" t="str">
        <f>IF(大板!C47="","",大板!C47)</f>
        <v/>
      </c>
      <c r="F60" s="110" t="str">
        <f t="shared" si="9"/>
        <v/>
      </c>
      <c r="G60" s="110" t="str">
        <f>IF(大板!E47="","",大板!E47)</f>
        <v/>
      </c>
      <c r="H60" s="110" t="str">
        <f t="shared" si="10"/>
        <v/>
      </c>
      <c r="I60" s="110" t="str">
        <f>IF(大板!F47="","",大板!F47)</f>
        <v/>
      </c>
      <c r="J60" s="110" t="str">
        <f t="shared" si="11"/>
        <v/>
      </c>
      <c r="K60" s="111" t="str">
        <f>TEXT(大板!I47,"#0.00;;;")</f>
        <v/>
      </c>
    </row>
    <row r="61" spans="2:12" ht="17.399999999999999">
      <c r="B61" s="108" t="str">
        <f>TEXT(C61,"9;;;")</f>
        <v/>
      </c>
      <c r="C61" s="109" t="str">
        <f>IF(大板!B48="","",大板!B48)</f>
        <v/>
      </c>
      <c r="D61" s="109" t="str">
        <f t="shared" si="8"/>
        <v/>
      </c>
      <c r="E61" s="109" t="str">
        <f>IF(大板!C48="","",大板!C48)</f>
        <v/>
      </c>
      <c r="F61" s="110" t="str">
        <f t="shared" si="9"/>
        <v/>
      </c>
      <c r="G61" s="110" t="str">
        <f>IF(大板!E48="","",大板!E48)</f>
        <v/>
      </c>
      <c r="H61" s="110" t="str">
        <f t="shared" si="10"/>
        <v/>
      </c>
      <c r="I61" s="110" t="str">
        <f>IF(大板!F48="","",大板!F48)</f>
        <v/>
      </c>
      <c r="J61" s="110" t="str">
        <f t="shared" si="11"/>
        <v/>
      </c>
      <c r="K61" s="111" t="str">
        <f>TEXT(大板!I48,"#0.00;;;")</f>
        <v/>
      </c>
    </row>
    <row r="62" spans="2:12" ht="17.399999999999999">
      <c r="B62" s="108" t="str">
        <f>IF(ISNUMBER(C62),"10","")</f>
        <v/>
      </c>
      <c r="C62" s="109" t="str">
        <f>IF(大板!B49="","",大板!B49)</f>
        <v/>
      </c>
      <c r="D62" s="109" t="str">
        <f t="shared" si="8"/>
        <v/>
      </c>
      <c r="E62" s="109" t="str">
        <f>IF(大板!C49="","",大板!C49)</f>
        <v/>
      </c>
      <c r="F62" s="110" t="str">
        <f t="shared" si="9"/>
        <v/>
      </c>
      <c r="G62" s="110" t="str">
        <f>IF(大板!E49="","",大板!E49)</f>
        <v/>
      </c>
      <c r="H62" s="110" t="str">
        <f t="shared" si="10"/>
        <v/>
      </c>
      <c r="I62" s="110" t="str">
        <f>IF(大板!F49="","",大板!F49)</f>
        <v/>
      </c>
      <c r="J62" s="110" t="str">
        <f t="shared" si="11"/>
        <v/>
      </c>
      <c r="K62" s="111" t="str">
        <f>TEXT(大板!I49,"#0.00;;;")</f>
        <v/>
      </c>
    </row>
    <row r="63" spans="2:12" ht="17.399999999999999">
      <c r="B63" s="108" t="str">
        <f>TEXT(C63,"11;;;")</f>
        <v/>
      </c>
      <c r="C63" s="109" t="str">
        <f>IF(大板!B50="","",大板!B50)</f>
        <v/>
      </c>
      <c r="D63" s="109" t="str">
        <f t="shared" si="8"/>
        <v/>
      </c>
      <c r="E63" s="109" t="str">
        <f>IF(大板!C50="","",大板!C50)</f>
        <v/>
      </c>
      <c r="F63" s="110" t="str">
        <f t="shared" si="9"/>
        <v/>
      </c>
      <c r="G63" s="110" t="str">
        <f>IF(大板!E50="","",大板!E50)</f>
        <v/>
      </c>
      <c r="H63" s="110" t="str">
        <f t="shared" si="10"/>
        <v/>
      </c>
      <c r="I63" s="110" t="str">
        <f>IF(大板!F50="","",大板!F50)</f>
        <v/>
      </c>
      <c r="J63" s="110" t="str">
        <f t="shared" si="11"/>
        <v/>
      </c>
      <c r="K63" s="111" t="str">
        <f>TEXT(大板!I50,"#0.00;;;")</f>
        <v/>
      </c>
    </row>
    <row r="64" spans="2:12" ht="17.399999999999999">
      <c r="B64" s="108" t="str">
        <f>TEXT(C64,"12;;;")</f>
        <v/>
      </c>
      <c r="C64" s="109" t="str">
        <f>IF(大板!B51="","",大板!B51)</f>
        <v/>
      </c>
      <c r="D64" s="109" t="str">
        <f t="shared" si="8"/>
        <v/>
      </c>
      <c r="E64" s="109" t="str">
        <f>IF(大板!C51="","",大板!C51)</f>
        <v/>
      </c>
      <c r="F64" s="110" t="str">
        <f t="shared" si="9"/>
        <v/>
      </c>
      <c r="G64" s="110" t="str">
        <f>IF(大板!E51="","",大板!E51)</f>
        <v/>
      </c>
      <c r="H64" s="110" t="str">
        <f t="shared" si="10"/>
        <v/>
      </c>
      <c r="I64" s="110" t="str">
        <f>IF(大板!F51="","",大板!F51)</f>
        <v/>
      </c>
      <c r="J64" s="110" t="str">
        <f t="shared" si="11"/>
        <v/>
      </c>
      <c r="K64" s="111" t="str">
        <f>TEXT(大板!I51,"#0.00;;;")</f>
        <v/>
      </c>
    </row>
    <row r="65" spans="2:12" ht="17.399999999999999">
      <c r="B65" s="108" t="str">
        <f>TEXT(C65,"13;;;")</f>
        <v/>
      </c>
      <c r="C65" s="109" t="str">
        <f>IF(大板!B52="","",大板!B52)</f>
        <v/>
      </c>
      <c r="D65" s="109" t="str">
        <f t="shared" si="8"/>
        <v/>
      </c>
      <c r="E65" s="109" t="str">
        <f>IF(大板!C52="","",大板!C52)</f>
        <v/>
      </c>
      <c r="F65" s="110" t="str">
        <f t="shared" si="9"/>
        <v/>
      </c>
      <c r="G65" s="110" t="str">
        <f>IF(大板!E52="","",大板!E52)</f>
        <v/>
      </c>
      <c r="H65" s="110" t="str">
        <f t="shared" si="10"/>
        <v/>
      </c>
      <c r="I65" s="110" t="str">
        <f>IF(大板!F52="","",大板!F52)</f>
        <v/>
      </c>
      <c r="J65" s="110" t="str">
        <f t="shared" si="11"/>
        <v/>
      </c>
      <c r="K65" s="111" t="str">
        <f>TEXT(大板!I52,"#0.00;;;")</f>
        <v/>
      </c>
    </row>
    <row r="66" spans="2:12" ht="17.399999999999999">
      <c r="B66" s="108" t="str">
        <f>TEXT(C66,"14;;;")</f>
        <v/>
      </c>
      <c r="C66" s="109" t="str">
        <f>IF(大板!B53="","",大板!B53)</f>
        <v/>
      </c>
      <c r="D66" s="109" t="str">
        <f t="shared" si="8"/>
        <v/>
      </c>
      <c r="E66" s="109" t="str">
        <f>IF(大板!C53="","",大板!C53)</f>
        <v/>
      </c>
      <c r="F66" s="110" t="str">
        <f t="shared" si="9"/>
        <v/>
      </c>
      <c r="G66" s="110" t="str">
        <f>IF(大板!E53="","",大板!E53)</f>
        <v/>
      </c>
      <c r="H66" s="110" t="str">
        <f t="shared" si="10"/>
        <v/>
      </c>
      <c r="I66" s="110" t="str">
        <f>IF(大板!F53="","",大板!F53)</f>
        <v/>
      </c>
      <c r="J66" s="110" t="str">
        <f t="shared" si="11"/>
        <v/>
      </c>
      <c r="K66" s="111" t="str">
        <f>TEXT(大板!I53,"#0.00;;;")</f>
        <v/>
      </c>
    </row>
    <row r="67" spans="2:12" ht="17.399999999999999">
      <c r="B67" s="108" t="str">
        <f>TEXT(C67,"15;;;")</f>
        <v/>
      </c>
      <c r="C67" s="109" t="str">
        <f>IF(大板!B54="","",大板!B54)</f>
        <v/>
      </c>
      <c r="D67" s="109" t="str">
        <f t="shared" si="8"/>
        <v/>
      </c>
      <c r="E67" s="109" t="str">
        <f>IF(大板!C54="","",大板!C54)</f>
        <v/>
      </c>
      <c r="F67" s="110" t="str">
        <f t="shared" si="9"/>
        <v/>
      </c>
      <c r="G67" s="110" t="str">
        <f>IF(大板!E54="","",大板!E54)</f>
        <v/>
      </c>
      <c r="H67" s="110" t="str">
        <f t="shared" si="10"/>
        <v/>
      </c>
      <c r="I67" s="110" t="str">
        <f>IF(大板!F54="","",大板!F54)</f>
        <v/>
      </c>
      <c r="J67" s="110" t="str">
        <f t="shared" si="11"/>
        <v/>
      </c>
      <c r="K67" s="111" t="str">
        <f>TEXT(大板!I54,"#0.00;;;")</f>
        <v/>
      </c>
    </row>
    <row r="68" spans="2:12" ht="17.399999999999999">
      <c r="B68" s="108" t="str">
        <f>TEXT(C68,"16;;;")</f>
        <v/>
      </c>
      <c r="C68" s="109" t="str">
        <f>IF(大板!B55="","",大板!B55)</f>
        <v/>
      </c>
      <c r="D68" s="109" t="str">
        <f t="shared" si="8"/>
        <v/>
      </c>
      <c r="E68" s="109" t="str">
        <f>IF(大板!C55="","",大板!C55)</f>
        <v/>
      </c>
      <c r="F68" s="110" t="str">
        <f t="shared" si="9"/>
        <v/>
      </c>
      <c r="G68" s="110" t="str">
        <f>IF(大板!E55="","",大板!E55)</f>
        <v/>
      </c>
      <c r="H68" s="110" t="str">
        <f t="shared" si="10"/>
        <v/>
      </c>
      <c r="I68" s="110" t="str">
        <f>IF(大板!F55="","",大板!F55)</f>
        <v/>
      </c>
      <c r="J68" s="110" t="str">
        <f t="shared" si="11"/>
        <v/>
      </c>
      <c r="K68" s="111" t="str">
        <f>TEXT(大板!I55,"#0.00;;;")</f>
        <v/>
      </c>
    </row>
    <row r="69" spans="2:12" ht="17.399999999999999">
      <c r="B69" s="108" t="str">
        <f>TEXT(C69,"17;;;")</f>
        <v/>
      </c>
      <c r="C69" s="109" t="str">
        <f>IF(大板!B56="","",大板!B56)</f>
        <v/>
      </c>
      <c r="D69" s="109" t="str">
        <f t="shared" si="8"/>
        <v/>
      </c>
      <c r="E69" s="109" t="str">
        <f>IF(大板!C56="","",大板!C56)</f>
        <v/>
      </c>
      <c r="F69" s="110" t="str">
        <f t="shared" si="9"/>
        <v/>
      </c>
      <c r="G69" s="110" t="str">
        <f>IF(大板!E56="","",大板!E56)</f>
        <v/>
      </c>
      <c r="H69" s="110" t="str">
        <f t="shared" si="10"/>
        <v/>
      </c>
      <c r="I69" s="110" t="str">
        <f>IF(大板!F56="","",大板!F56)</f>
        <v/>
      </c>
      <c r="J69" s="110" t="str">
        <f t="shared" si="11"/>
        <v/>
      </c>
      <c r="K69" s="111" t="str">
        <f>TEXT(大板!I56,"#0.00;;;")</f>
        <v/>
      </c>
    </row>
    <row r="70" spans="2:12" ht="17.399999999999999">
      <c r="B70" s="108" t="str">
        <f>TEXT(C70,"18;;;")</f>
        <v/>
      </c>
      <c r="C70" s="109" t="str">
        <f>IF(大板!B57="","",大板!B57)</f>
        <v/>
      </c>
      <c r="D70" s="109" t="str">
        <f t="shared" si="8"/>
        <v/>
      </c>
      <c r="E70" s="109" t="str">
        <f>IF(大板!C57="","",大板!C57)</f>
        <v/>
      </c>
      <c r="F70" s="110" t="str">
        <f t="shared" si="9"/>
        <v/>
      </c>
      <c r="G70" s="110" t="str">
        <f>IF(大板!E57="","",大板!E57)</f>
        <v/>
      </c>
      <c r="H70" s="110" t="str">
        <f t="shared" si="10"/>
        <v/>
      </c>
      <c r="I70" s="110" t="str">
        <f>IF(大板!F57="","",大板!F57)</f>
        <v/>
      </c>
      <c r="J70" s="110" t="str">
        <f t="shared" si="11"/>
        <v/>
      </c>
      <c r="K70" s="111" t="str">
        <f>TEXT(大板!I57,"#0.00;;;")</f>
        <v/>
      </c>
    </row>
    <row r="71" spans="2:12" ht="17.399999999999999">
      <c r="B71" s="108" t="str">
        <f>TEXT(C71,"19;;;")</f>
        <v/>
      </c>
      <c r="C71" s="109" t="str">
        <f>IF(大板!B60="","",大板!B60)</f>
        <v/>
      </c>
      <c r="D71" s="109" t="str">
        <f t="shared" si="8"/>
        <v/>
      </c>
      <c r="E71" s="109" t="str">
        <f>IF(大板!C60="","",大板!C60)</f>
        <v/>
      </c>
      <c r="F71" s="110" t="str">
        <f t="shared" si="9"/>
        <v/>
      </c>
      <c r="G71" s="110" t="str">
        <f>IF(大板!E60="","",大板!E60)</f>
        <v/>
      </c>
      <c r="H71" s="110" t="str">
        <f t="shared" si="10"/>
        <v/>
      </c>
      <c r="I71" s="110" t="str">
        <f>IF(大板!F60="","",大板!F60)</f>
        <v/>
      </c>
      <c r="J71" s="110" t="str">
        <f t="shared" si="11"/>
        <v/>
      </c>
      <c r="K71" s="111" t="str">
        <f>TEXT(大板!I60,"#0.00;;;")</f>
        <v/>
      </c>
    </row>
    <row r="72" spans="2:12" ht="18" thickBot="1">
      <c r="B72" s="108" t="str">
        <f>IF(ISNUMBER(C72),"20","")</f>
        <v/>
      </c>
      <c r="C72" s="109" t="str">
        <f>IF(大板!B61="","",大板!B61)</f>
        <v/>
      </c>
      <c r="D72" s="109" t="str">
        <f t="shared" si="8"/>
        <v/>
      </c>
      <c r="E72" s="109" t="str">
        <f>IF(大板!C61="","",大板!C61)</f>
        <v/>
      </c>
      <c r="F72" s="110" t="str">
        <f t="shared" si="9"/>
        <v/>
      </c>
      <c r="G72" s="110" t="str">
        <f>IF(大板!E61="","",大板!E61)</f>
        <v/>
      </c>
      <c r="H72" s="110" t="str">
        <f t="shared" si="10"/>
        <v/>
      </c>
      <c r="I72" s="110" t="str">
        <f>IF(大板!F61="","",大板!F61)</f>
        <v/>
      </c>
      <c r="J72" s="110" t="str">
        <f t="shared" si="11"/>
        <v/>
      </c>
      <c r="K72" s="111" t="str">
        <f>TEXT(大板!I61,"#0.00;;;")</f>
        <v/>
      </c>
    </row>
    <row r="73" spans="2:12" s="118" customFormat="1" ht="33" customHeight="1">
      <c r="B73" s="162" t="str">
        <f>"第 3 夹，"&amp;大板!G62&amp;"件, "&amp;TEXT(大板!I62,"0.00")&amp;" ㎡"</f>
        <v>第 3 夹，0件, 0.00 ㎡</v>
      </c>
      <c r="C73" s="162"/>
      <c r="D73" s="162"/>
      <c r="E73" s="162"/>
      <c r="F73" s="162"/>
      <c r="G73" s="162"/>
      <c r="H73" s="162"/>
      <c r="I73" s="162"/>
      <c r="J73" s="162"/>
      <c r="K73" s="162"/>
      <c r="L73" s="162"/>
    </row>
    <row r="74" spans="2:12" ht="24.6" customHeight="1"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</row>
    <row r="75" spans="2:12" ht="9" customHeight="1">
      <c r="B75" s="108"/>
      <c r="C75" s="109"/>
      <c r="D75" s="109"/>
      <c r="E75" s="109"/>
      <c r="F75" s="110"/>
      <c r="G75" s="110"/>
      <c r="H75" s="110"/>
      <c r="I75" s="110"/>
      <c r="J75" s="110"/>
      <c r="K75" s="110"/>
    </row>
    <row r="76" spans="2:12" ht="17.399999999999999">
      <c r="B76" s="108" t="str">
        <f>TEXT(C76,"1;1;;")</f>
        <v/>
      </c>
      <c r="C76" s="109" t="str">
        <f>IF(大板!L40="","",大板!L40)</f>
        <v/>
      </c>
      <c r="D76" s="109" t="str">
        <f>IF(ISNUMBER(C76),"*","")</f>
        <v/>
      </c>
      <c r="E76" s="109" t="str">
        <f>IF(大板!M40="","",大板!M40)</f>
        <v/>
      </c>
      <c r="F76" s="110" t="str">
        <f>IF(ISNUMBER(G76),"(","")</f>
        <v/>
      </c>
      <c r="G76" s="110" t="str">
        <f>IF(大板!O40="","",大板!O40)</f>
        <v/>
      </c>
      <c r="H76" s="110" t="str">
        <f>IF(ISNUMBER(G76),"*","")</f>
        <v/>
      </c>
      <c r="I76" s="110" t="str">
        <f>IF(大板!P40="","",大板!P40)</f>
        <v/>
      </c>
      <c r="J76" s="110" t="str">
        <f>IF(ISNUMBER(I76),")","")</f>
        <v/>
      </c>
      <c r="K76" s="111" t="str">
        <f>TEXT(大板!S40,"#0.00;;;")</f>
        <v/>
      </c>
    </row>
    <row r="77" spans="2:12" ht="17.399999999999999">
      <c r="B77" s="108" t="str">
        <f>TEXT(C77,"2;;;")</f>
        <v/>
      </c>
      <c r="C77" s="109" t="str">
        <f>IF(大板!L41="","",大板!L41)</f>
        <v/>
      </c>
      <c r="D77" s="109" t="str">
        <f t="shared" ref="D77:D95" si="12">IF(ISNUMBER(C77),"*","")</f>
        <v/>
      </c>
      <c r="E77" s="109" t="str">
        <f>IF(大板!M41="","",大板!M41)</f>
        <v/>
      </c>
      <c r="F77" s="110" t="str">
        <f t="shared" ref="F77:F95" si="13">IF(ISNUMBER(G77),"(","")</f>
        <v/>
      </c>
      <c r="G77" s="110" t="str">
        <f>IF(大板!O41="","",大板!O41)</f>
        <v/>
      </c>
      <c r="H77" s="110" t="str">
        <f t="shared" ref="H77:H95" si="14">IF(ISNUMBER(G77),"*","")</f>
        <v/>
      </c>
      <c r="I77" s="110" t="str">
        <f>IF(大板!P41="","",大板!P41)</f>
        <v/>
      </c>
      <c r="J77" s="110" t="str">
        <f t="shared" ref="J77:J95" si="15">IF(ISNUMBER(I77),")","")</f>
        <v/>
      </c>
      <c r="K77" s="111" t="str">
        <f>TEXT(大板!S41,"#0.00;;;")</f>
        <v/>
      </c>
    </row>
    <row r="78" spans="2:12" ht="17.399999999999999">
      <c r="B78" s="108" t="str">
        <f>TEXT(C78,"3;;;")</f>
        <v/>
      </c>
      <c r="C78" s="109" t="str">
        <f>IF(大板!L42="","",大板!L42)</f>
        <v/>
      </c>
      <c r="D78" s="109" t="str">
        <f t="shared" si="12"/>
        <v/>
      </c>
      <c r="E78" s="109" t="str">
        <f>IF(大板!M42="","",大板!M42)</f>
        <v/>
      </c>
      <c r="F78" s="110" t="str">
        <f t="shared" si="13"/>
        <v/>
      </c>
      <c r="G78" s="110" t="str">
        <f>IF(大板!O42="","",大板!O42)</f>
        <v/>
      </c>
      <c r="H78" s="110" t="str">
        <f t="shared" si="14"/>
        <v/>
      </c>
      <c r="I78" s="110" t="str">
        <f>IF(大板!P42="","",大板!P42)</f>
        <v/>
      </c>
      <c r="J78" s="110" t="str">
        <f t="shared" si="15"/>
        <v/>
      </c>
      <c r="K78" s="111" t="str">
        <f>TEXT(大板!S42,"#0.00;;;")</f>
        <v/>
      </c>
    </row>
    <row r="79" spans="2:12" ht="17.399999999999999">
      <c r="B79" s="108" t="str">
        <f>TEXT(C79,"4;;;")</f>
        <v/>
      </c>
      <c r="C79" s="109" t="str">
        <f>IF(大板!L43="","",大板!L43)</f>
        <v/>
      </c>
      <c r="D79" s="109" t="str">
        <f t="shared" si="12"/>
        <v/>
      </c>
      <c r="E79" s="109" t="str">
        <f>IF(大板!M43="","",大板!M43)</f>
        <v/>
      </c>
      <c r="F79" s="110" t="str">
        <f t="shared" si="13"/>
        <v/>
      </c>
      <c r="G79" s="110" t="str">
        <f>IF(大板!O43="","",大板!O43)</f>
        <v/>
      </c>
      <c r="H79" s="110" t="str">
        <f t="shared" si="14"/>
        <v/>
      </c>
      <c r="I79" s="110" t="str">
        <f>IF(大板!P43="","",大板!P43)</f>
        <v/>
      </c>
      <c r="J79" s="110" t="str">
        <f t="shared" si="15"/>
        <v/>
      </c>
      <c r="K79" s="111" t="str">
        <f>TEXT(大板!S43,"#0.00;;;")</f>
        <v/>
      </c>
    </row>
    <row r="80" spans="2:12" ht="17.399999999999999">
      <c r="B80" s="108" t="str">
        <f>TEXT(C80,"5;;;")</f>
        <v/>
      </c>
      <c r="C80" s="109" t="str">
        <f>IF(大板!L44="","",大板!L44)</f>
        <v/>
      </c>
      <c r="D80" s="109" t="str">
        <f t="shared" si="12"/>
        <v/>
      </c>
      <c r="E80" s="109" t="str">
        <f>IF(大板!M44="","",大板!M44)</f>
        <v/>
      </c>
      <c r="F80" s="110" t="str">
        <f t="shared" si="13"/>
        <v/>
      </c>
      <c r="G80" s="110" t="str">
        <f>IF(大板!O44="","",大板!O44)</f>
        <v/>
      </c>
      <c r="H80" s="110" t="str">
        <f t="shared" si="14"/>
        <v/>
      </c>
      <c r="I80" s="110" t="str">
        <f>IF(大板!P44="","",大板!P44)</f>
        <v/>
      </c>
      <c r="J80" s="110" t="str">
        <f t="shared" si="15"/>
        <v/>
      </c>
      <c r="K80" s="111" t="str">
        <f>TEXT(大板!S44,"#0.00;;;")</f>
        <v/>
      </c>
    </row>
    <row r="81" spans="2:12" ht="17.399999999999999">
      <c r="B81" s="108" t="str">
        <f>TEXT(C81,"6;;;")</f>
        <v/>
      </c>
      <c r="C81" s="109" t="str">
        <f>IF(大板!L45="","",大板!L45)</f>
        <v/>
      </c>
      <c r="D81" s="109" t="str">
        <f t="shared" si="12"/>
        <v/>
      </c>
      <c r="E81" s="109" t="str">
        <f>IF(大板!M45="","",大板!M45)</f>
        <v/>
      </c>
      <c r="F81" s="110" t="str">
        <f t="shared" si="13"/>
        <v/>
      </c>
      <c r="G81" s="110" t="str">
        <f>IF(大板!O45="","",大板!O45)</f>
        <v/>
      </c>
      <c r="H81" s="110" t="str">
        <f t="shared" si="14"/>
        <v/>
      </c>
      <c r="I81" s="110" t="str">
        <f>IF(大板!P45="","",大板!P45)</f>
        <v/>
      </c>
      <c r="J81" s="110" t="str">
        <f t="shared" si="15"/>
        <v/>
      </c>
      <c r="K81" s="111" t="str">
        <f>TEXT(大板!S45,"#0.00;;;")</f>
        <v/>
      </c>
    </row>
    <row r="82" spans="2:12" ht="17.399999999999999">
      <c r="B82" s="108" t="str">
        <f>TEXT(C82,"7;;;")</f>
        <v/>
      </c>
      <c r="C82" s="109" t="str">
        <f>IF(大板!L46="","",大板!L46)</f>
        <v/>
      </c>
      <c r="D82" s="109" t="str">
        <f t="shared" si="12"/>
        <v/>
      </c>
      <c r="E82" s="109" t="str">
        <f>IF(大板!M46="","",大板!M46)</f>
        <v/>
      </c>
      <c r="F82" s="110" t="str">
        <f t="shared" si="13"/>
        <v/>
      </c>
      <c r="G82" s="110" t="str">
        <f>IF(大板!O46="","",大板!O46)</f>
        <v/>
      </c>
      <c r="H82" s="110" t="str">
        <f t="shared" si="14"/>
        <v/>
      </c>
      <c r="I82" s="110" t="str">
        <f>IF(大板!P46="","",大板!P46)</f>
        <v/>
      </c>
      <c r="J82" s="110" t="str">
        <f t="shared" si="15"/>
        <v/>
      </c>
      <c r="K82" s="111" t="str">
        <f>TEXT(大板!S46,"#0.00;;;")</f>
        <v/>
      </c>
    </row>
    <row r="83" spans="2:12" ht="17.399999999999999">
      <c r="B83" s="108" t="str">
        <f>TEXT(C83,"8;;;")</f>
        <v/>
      </c>
      <c r="C83" s="109" t="str">
        <f>IF(大板!L47="","",大板!L47)</f>
        <v/>
      </c>
      <c r="D83" s="109" t="str">
        <f t="shared" si="12"/>
        <v/>
      </c>
      <c r="E83" s="109" t="str">
        <f>IF(大板!M47="","",大板!M47)</f>
        <v/>
      </c>
      <c r="F83" s="110" t="str">
        <f t="shared" si="13"/>
        <v/>
      </c>
      <c r="G83" s="110" t="str">
        <f>IF(大板!O47="","",大板!O47)</f>
        <v/>
      </c>
      <c r="H83" s="110" t="str">
        <f t="shared" si="14"/>
        <v/>
      </c>
      <c r="I83" s="110" t="str">
        <f>IF(大板!P47="","",大板!P47)</f>
        <v/>
      </c>
      <c r="J83" s="110" t="str">
        <f t="shared" si="15"/>
        <v/>
      </c>
      <c r="K83" s="111" t="str">
        <f>TEXT(大板!S47,"#0.00;;;")</f>
        <v/>
      </c>
    </row>
    <row r="84" spans="2:12" ht="17.399999999999999">
      <c r="B84" s="108" t="str">
        <f>TEXT(C84,"9;;;")</f>
        <v/>
      </c>
      <c r="C84" s="109" t="str">
        <f>IF(大板!L48="","",大板!L48)</f>
        <v/>
      </c>
      <c r="D84" s="109" t="str">
        <f t="shared" si="12"/>
        <v/>
      </c>
      <c r="E84" s="109" t="str">
        <f>IF(大板!M48="","",大板!M48)</f>
        <v/>
      </c>
      <c r="F84" s="110" t="str">
        <f t="shared" si="13"/>
        <v/>
      </c>
      <c r="G84" s="110" t="str">
        <f>IF(大板!O48="","",大板!O48)</f>
        <v/>
      </c>
      <c r="H84" s="110" t="str">
        <f t="shared" si="14"/>
        <v/>
      </c>
      <c r="I84" s="110" t="str">
        <f>IF(大板!P48="","",大板!P48)</f>
        <v/>
      </c>
      <c r="J84" s="110" t="str">
        <f t="shared" si="15"/>
        <v/>
      </c>
      <c r="K84" s="111" t="str">
        <f>TEXT(大板!S48,"#0.00;;;")</f>
        <v/>
      </c>
    </row>
    <row r="85" spans="2:12" ht="17.399999999999999">
      <c r="B85" s="108" t="str">
        <f>IF(ISNUMBER(C85),"10","")</f>
        <v/>
      </c>
      <c r="C85" s="109" t="str">
        <f>IF(大板!L49="","",大板!L49)</f>
        <v/>
      </c>
      <c r="D85" s="109" t="str">
        <f t="shared" si="12"/>
        <v/>
      </c>
      <c r="E85" s="109" t="str">
        <f>IF(大板!M49="","",大板!M49)</f>
        <v/>
      </c>
      <c r="F85" s="110" t="str">
        <f t="shared" si="13"/>
        <v/>
      </c>
      <c r="G85" s="110" t="str">
        <f>IF(大板!O49="","",大板!O49)</f>
        <v/>
      </c>
      <c r="H85" s="110" t="str">
        <f t="shared" si="14"/>
        <v/>
      </c>
      <c r="I85" s="110" t="str">
        <f>IF(大板!P49="","",大板!P49)</f>
        <v/>
      </c>
      <c r="J85" s="110" t="str">
        <f t="shared" si="15"/>
        <v/>
      </c>
      <c r="K85" s="111" t="str">
        <f>TEXT(大板!S49,"#0.00;;;")</f>
        <v/>
      </c>
    </row>
    <row r="86" spans="2:12" ht="17.399999999999999">
      <c r="B86" s="108" t="str">
        <f>TEXT(C86,"11;;;")</f>
        <v/>
      </c>
      <c r="C86" s="109" t="str">
        <f>IF(大板!L50="","",大板!L50)</f>
        <v/>
      </c>
      <c r="D86" s="109" t="str">
        <f t="shared" si="12"/>
        <v/>
      </c>
      <c r="E86" s="109" t="str">
        <f>IF(大板!M50="","",大板!M50)</f>
        <v/>
      </c>
      <c r="F86" s="110" t="str">
        <f t="shared" si="13"/>
        <v/>
      </c>
      <c r="G86" s="110" t="str">
        <f>IF(大板!O50="","",大板!O50)</f>
        <v/>
      </c>
      <c r="H86" s="110" t="str">
        <f t="shared" si="14"/>
        <v/>
      </c>
      <c r="I86" s="110" t="str">
        <f>IF(大板!P50="","",大板!P50)</f>
        <v/>
      </c>
      <c r="J86" s="110" t="str">
        <f t="shared" si="15"/>
        <v/>
      </c>
      <c r="K86" s="111" t="str">
        <f>TEXT(大板!S50,"#0.00;;;")</f>
        <v/>
      </c>
    </row>
    <row r="87" spans="2:12" ht="17.399999999999999">
      <c r="B87" s="108" t="str">
        <f>TEXT(C87,"12;;;")</f>
        <v/>
      </c>
      <c r="C87" s="109" t="str">
        <f>IF(大板!L51="","",大板!L51)</f>
        <v/>
      </c>
      <c r="D87" s="109" t="str">
        <f t="shared" si="12"/>
        <v/>
      </c>
      <c r="E87" s="109" t="str">
        <f>IF(大板!M51="","",大板!M51)</f>
        <v/>
      </c>
      <c r="F87" s="110" t="str">
        <f t="shared" si="13"/>
        <v/>
      </c>
      <c r="G87" s="110" t="str">
        <f>IF(大板!O51="","",大板!O51)</f>
        <v/>
      </c>
      <c r="H87" s="110" t="str">
        <f t="shared" si="14"/>
        <v/>
      </c>
      <c r="I87" s="110" t="str">
        <f>IF(大板!P51="","",大板!P51)</f>
        <v/>
      </c>
      <c r="J87" s="110" t="str">
        <f t="shared" si="15"/>
        <v/>
      </c>
      <c r="K87" s="111" t="str">
        <f>TEXT(大板!S51,"#0.00;;;")</f>
        <v/>
      </c>
    </row>
    <row r="88" spans="2:12" ht="17.399999999999999">
      <c r="B88" s="108" t="str">
        <f>TEXT(C88,"13;;;")</f>
        <v/>
      </c>
      <c r="C88" s="109" t="str">
        <f>IF(大板!L52="","",大板!L52)</f>
        <v/>
      </c>
      <c r="D88" s="109" t="str">
        <f t="shared" si="12"/>
        <v/>
      </c>
      <c r="E88" s="109" t="str">
        <f>IF(大板!M52="","",大板!M52)</f>
        <v/>
      </c>
      <c r="F88" s="110" t="str">
        <f t="shared" si="13"/>
        <v/>
      </c>
      <c r="G88" s="110" t="str">
        <f>IF(大板!O52="","",大板!O52)</f>
        <v/>
      </c>
      <c r="H88" s="110" t="str">
        <f t="shared" si="14"/>
        <v/>
      </c>
      <c r="I88" s="110" t="str">
        <f>IF(大板!P52="","",大板!P52)</f>
        <v/>
      </c>
      <c r="J88" s="110" t="str">
        <f t="shared" si="15"/>
        <v/>
      </c>
      <c r="K88" s="111" t="str">
        <f>TEXT(大板!S52,"#0.00;;;")</f>
        <v/>
      </c>
    </row>
    <row r="89" spans="2:12" ht="17.399999999999999">
      <c r="B89" s="108" t="str">
        <f>TEXT(C89,"14;;;")</f>
        <v/>
      </c>
      <c r="C89" s="109" t="str">
        <f>IF(大板!L53="","",大板!L53)</f>
        <v/>
      </c>
      <c r="D89" s="109" t="str">
        <f t="shared" si="12"/>
        <v/>
      </c>
      <c r="E89" s="109" t="str">
        <f>IF(大板!M53="","",大板!M53)</f>
        <v/>
      </c>
      <c r="F89" s="110" t="str">
        <f t="shared" si="13"/>
        <v/>
      </c>
      <c r="G89" s="110" t="str">
        <f>IF(大板!O53="","",大板!O53)</f>
        <v/>
      </c>
      <c r="H89" s="110" t="str">
        <f t="shared" si="14"/>
        <v/>
      </c>
      <c r="I89" s="110" t="str">
        <f>IF(大板!P53="","",大板!P53)</f>
        <v/>
      </c>
      <c r="J89" s="110" t="str">
        <f t="shared" si="15"/>
        <v/>
      </c>
      <c r="K89" s="111" t="str">
        <f>TEXT(大板!S53,"#0.00;;;")</f>
        <v/>
      </c>
    </row>
    <row r="90" spans="2:12" ht="17.399999999999999">
      <c r="B90" s="108" t="str">
        <f>TEXT(C90,"15;;;")</f>
        <v/>
      </c>
      <c r="C90" s="109" t="str">
        <f>IF(大板!L54="","",大板!L54)</f>
        <v/>
      </c>
      <c r="D90" s="109" t="str">
        <f t="shared" si="12"/>
        <v/>
      </c>
      <c r="E90" s="109" t="str">
        <f>IF(大板!M54="","",大板!M54)</f>
        <v/>
      </c>
      <c r="F90" s="110" t="str">
        <f t="shared" si="13"/>
        <v/>
      </c>
      <c r="G90" s="110" t="str">
        <f>IF(大板!O54="","",大板!O54)</f>
        <v/>
      </c>
      <c r="H90" s="110" t="str">
        <f t="shared" si="14"/>
        <v/>
      </c>
      <c r="I90" s="110" t="str">
        <f>IF(大板!P54="","",大板!P54)</f>
        <v/>
      </c>
      <c r="J90" s="110" t="str">
        <f t="shared" si="15"/>
        <v/>
      </c>
      <c r="K90" s="111" t="str">
        <f>TEXT(大板!S54,"#0.00;;;")</f>
        <v/>
      </c>
    </row>
    <row r="91" spans="2:12" ht="17.399999999999999">
      <c r="B91" s="108" t="str">
        <f>TEXT(C91,"16;;;")</f>
        <v/>
      </c>
      <c r="C91" s="109" t="str">
        <f>IF(大板!L55="","",大板!L55)</f>
        <v/>
      </c>
      <c r="D91" s="109" t="str">
        <f t="shared" si="12"/>
        <v/>
      </c>
      <c r="E91" s="109" t="str">
        <f>IF(大板!M55="","",大板!M55)</f>
        <v/>
      </c>
      <c r="F91" s="110" t="str">
        <f t="shared" si="13"/>
        <v/>
      </c>
      <c r="G91" s="110" t="str">
        <f>IF(大板!O55="","",大板!O55)</f>
        <v/>
      </c>
      <c r="H91" s="110" t="str">
        <f t="shared" si="14"/>
        <v/>
      </c>
      <c r="I91" s="110" t="str">
        <f>IF(大板!P55="","",大板!P55)</f>
        <v/>
      </c>
      <c r="J91" s="110" t="str">
        <f t="shared" si="15"/>
        <v/>
      </c>
      <c r="K91" s="111" t="str">
        <f>TEXT(大板!S55,"#0.00;;;")</f>
        <v/>
      </c>
    </row>
    <row r="92" spans="2:12" ht="17.399999999999999">
      <c r="B92" s="108" t="str">
        <f>TEXT(C92,"17;;;")</f>
        <v/>
      </c>
      <c r="C92" s="109" t="str">
        <f>IF(大板!L56="","",大板!L56)</f>
        <v/>
      </c>
      <c r="D92" s="109" t="str">
        <f t="shared" si="12"/>
        <v/>
      </c>
      <c r="E92" s="109" t="str">
        <f>IF(大板!M56="","",大板!M56)</f>
        <v/>
      </c>
      <c r="F92" s="110" t="str">
        <f t="shared" si="13"/>
        <v/>
      </c>
      <c r="G92" s="110" t="str">
        <f>IF(大板!O56="","",大板!O56)</f>
        <v/>
      </c>
      <c r="H92" s="110" t="str">
        <f t="shared" si="14"/>
        <v/>
      </c>
      <c r="I92" s="110" t="str">
        <f>IF(大板!P56="","",大板!P56)</f>
        <v/>
      </c>
      <c r="J92" s="110" t="str">
        <f t="shared" si="15"/>
        <v/>
      </c>
      <c r="K92" s="111" t="str">
        <f>TEXT(大板!S56,"#0.00;;;")</f>
        <v/>
      </c>
    </row>
    <row r="93" spans="2:12" ht="17.399999999999999">
      <c r="B93" s="108" t="str">
        <f>TEXT(C93,"18;;;")</f>
        <v/>
      </c>
      <c r="C93" s="109" t="str">
        <f>IF(大板!L57="","",大板!L57)</f>
        <v/>
      </c>
      <c r="D93" s="109" t="str">
        <f t="shared" si="12"/>
        <v/>
      </c>
      <c r="E93" s="109" t="str">
        <f>IF(大板!M57="","",大板!M57)</f>
        <v/>
      </c>
      <c r="F93" s="110" t="str">
        <f t="shared" si="13"/>
        <v/>
      </c>
      <c r="G93" s="110" t="str">
        <f>IF(大板!O57="","",大板!O57)</f>
        <v/>
      </c>
      <c r="H93" s="110" t="str">
        <f t="shared" si="14"/>
        <v/>
      </c>
      <c r="I93" s="110" t="str">
        <f>IF(大板!P57="","",大板!P57)</f>
        <v/>
      </c>
      <c r="J93" s="110" t="str">
        <f t="shared" si="15"/>
        <v/>
      </c>
      <c r="K93" s="111" t="str">
        <f>TEXT(大板!S57,"#0.00;;;")</f>
        <v/>
      </c>
    </row>
    <row r="94" spans="2:12" ht="17.399999999999999">
      <c r="B94" s="108" t="str">
        <f>TEXT(C94,"19;;;")</f>
        <v/>
      </c>
      <c r="C94" s="109" t="str">
        <f>IF(大板!L60="","",大板!L60)</f>
        <v/>
      </c>
      <c r="D94" s="109" t="str">
        <f t="shared" si="12"/>
        <v/>
      </c>
      <c r="E94" s="109" t="str">
        <f>IF(大板!M60="","",大板!M60)</f>
        <v/>
      </c>
      <c r="F94" s="110" t="str">
        <f t="shared" si="13"/>
        <v/>
      </c>
      <c r="G94" s="110" t="str">
        <f>IF(大板!O60="","",大板!O60)</f>
        <v/>
      </c>
      <c r="H94" s="110" t="str">
        <f t="shared" si="14"/>
        <v/>
      </c>
      <c r="I94" s="110" t="str">
        <f>IF(大板!P60="","",大板!P60)</f>
        <v/>
      </c>
      <c r="J94" s="110" t="str">
        <f t="shared" si="15"/>
        <v/>
      </c>
      <c r="K94" s="111" t="str">
        <f>TEXT(大板!S60,"#0.00;;;")</f>
        <v/>
      </c>
    </row>
    <row r="95" spans="2:12" ht="18" thickBot="1">
      <c r="B95" s="108" t="str">
        <f>IF(ISNUMBER(C95),"20","")</f>
        <v/>
      </c>
      <c r="C95" s="109" t="str">
        <f>IF(大板!L61="","",大板!L61)</f>
        <v/>
      </c>
      <c r="D95" s="109" t="str">
        <f t="shared" si="12"/>
        <v/>
      </c>
      <c r="E95" s="109" t="str">
        <f>IF(大板!M61="","",大板!M61)</f>
        <v/>
      </c>
      <c r="F95" s="110" t="str">
        <f t="shared" si="13"/>
        <v/>
      </c>
      <c r="G95" s="110" t="str">
        <f>IF(大板!O61="","",大板!O61)</f>
        <v/>
      </c>
      <c r="H95" s="110" t="str">
        <f t="shared" si="14"/>
        <v/>
      </c>
      <c r="I95" s="110" t="str">
        <f>IF(大板!P61="","",大板!P61)</f>
        <v/>
      </c>
      <c r="J95" s="110" t="str">
        <f t="shared" si="15"/>
        <v/>
      </c>
      <c r="K95" s="111" t="str">
        <f>TEXT(大板!S61,"#0.00;;;")</f>
        <v/>
      </c>
    </row>
    <row r="96" spans="2:12" s="118" customFormat="1" ht="33" customHeight="1">
      <c r="B96" s="162" t="str">
        <f>"第 4 夹，"&amp;大板!Q62&amp;"件, "&amp;TEXT(大板!S62,"0.00")&amp;" ㎡"</f>
        <v>第 4 夹，0件, 0.00 ㎡</v>
      </c>
      <c r="C96" s="162"/>
      <c r="D96" s="162"/>
      <c r="E96" s="162"/>
      <c r="F96" s="162"/>
      <c r="G96" s="162"/>
      <c r="H96" s="162"/>
      <c r="I96" s="162"/>
      <c r="J96" s="162"/>
      <c r="K96" s="162"/>
      <c r="L96" s="162"/>
    </row>
    <row r="97" spans="2:12" ht="24.6" customHeight="1"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</row>
    <row r="98" spans="2:12" ht="9" customHeight="1">
      <c r="B98" s="108"/>
      <c r="C98" s="109"/>
      <c r="D98" s="109"/>
      <c r="E98" s="109"/>
      <c r="F98" s="110"/>
      <c r="G98" s="110"/>
      <c r="H98" s="110"/>
      <c r="I98" s="110"/>
      <c r="J98" s="110"/>
      <c r="K98" s="110"/>
    </row>
    <row r="99" spans="2:12" ht="17.399999999999999">
      <c r="B99" s="108" t="str">
        <f>TEXT(C99,"1;1;;")</f>
        <v/>
      </c>
      <c r="C99" s="109" t="str">
        <f>IF(大板!B67="","",大板!B67)</f>
        <v/>
      </c>
      <c r="D99" s="109" t="str">
        <f>IF(ISNUMBER(C99),"*","")</f>
        <v/>
      </c>
      <c r="E99" s="109" t="str">
        <f>IF(大板!C67="","",大板!C67)</f>
        <v/>
      </c>
      <c r="F99" s="110" t="str">
        <f>IF(ISNUMBER(G99),"(","")</f>
        <v/>
      </c>
      <c r="G99" s="110" t="str">
        <f>IF(大板!E67="","",大板!E67)</f>
        <v/>
      </c>
      <c r="H99" s="110" t="str">
        <f>IF(ISNUMBER(G99),"*","")</f>
        <v/>
      </c>
      <c r="I99" s="110" t="str">
        <f>IF(大板!F67="","",大板!F67)</f>
        <v/>
      </c>
      <c r="J99" s="110" t="str">
        <f>IF(ISNUMBER(I99),")","")</f>
        <v/>
      </c>
      <c r="K99" s="111" t="str">
        <f>TEXT(大板!I67,"#0.00;;;")</f>
        <v/>
      </c>
    </row>
    <row r="100" spans="2:12" ht="17.399999999999999">
      <c r="B100" s="108" t="str">
        <f>TEXT(C100,"2;;;")</f>
        <v/>
      </c>
      <c r="C100" s="109" t="str">
        <f>IF(大板!B68="","",大板!B68)</f>
        <v/>
      </c>
      <c r="D100" s="109" t="str">
        <f t="shared" ref="D100:D118" si="16">IF(ISNUMBER(C100),"*","")</f>
        <v/>
      </c>
      <c r="E100" s="109" t="str">
        <f>IF(大板!C68="","",大板!C68)</f>
        <v/>
      </c>
      <c r="F100" s="110" t="str">
        <f t="shared" ref="F100:F118" si="17">IF(ISNUMBER(G100),"(","")</f>
        <v/>
      </c>
      <c r="G100" s="110" t="str">
        <f>IF(大板!E68="","",大板!E68)</f>
        <v/>
      </c>
      <c r="H100" s="110" t="str">
        <f t="shared" ref="H100:H118" si="18">IF(ISNUMBER(G100),"*","")</f>
        <v/>
      </c>
      <c r="I100" s="110" t="str">
        <f>IF(大板!F68="","",大板!F68)</f>
        <v/>
      </c>
      <c r="J100" s="110" t="str">
        <f t="shared" ref="J100:J118" si="19">IF(ISNUMBER(I100),")","")</f>
        <v/>
      </c>
      <c r="K100" s="111" t="str">
        <f>TEXT(大板!I68,"#0.00;;;")</f>
        <v/>
      </c>
    </row>
    <row r="101" spans="2:12" ht="17.399999999999999">
      <c r="B101" s="108" t="str">
        <f>TEXT(C101,"3;;;")</f>
        <v/>
      </c>
      <c r="C101" s="109" t="str">
        <f>IF(大板!B69="","",大板!B69)</f>
        <v/>
      </c>
      <c r="D101" s="109" t="str">
        <f t="shared" si="16"/>
        <v/>
      </c>
      <c r="E101" s="109" t="str">
        <f>IF(大板!C69="","",大板!C69)</f>
        <v/>
      </c>
      <c r="F101" s="110" t="str">
        <f t="shared" si="17"/>
        <v/>
      </c>
      <c r="G101" s="110" t="str">
        <f>IF(大板!E69="","",大板!E69)</f>
        <v/>
      </c>
      <c r="H101" s="110" t="str">
        <f t="shared" si="18"/>
        <v/>
      </c>
      <c r="I101" s="110" t="str">
        <f>IF(大板!F69="","",大板!F69)</f>
        <v/>
      </c>
      <c r="J101" s="110" t="str">
        <f t="shared" si="19"/>
        <v/>
      </c>
      <c r="K101" s="111" t="str">
        <f>TEXT(大板!I69,"#0.00;;;")</f>
        <v/>
      </c>
    </row>
    <row r="102" spans="2:12" ht="17.399999999999999">
      <c r="B102" s="108" t="str">
        <f>TEXT(C102,"4;;;")</f>
        <v/>
      </c>
      <c r="C102" s="109" t="str">
        <f>IF(大板!B70="","",大板!B70)</f>
        <v/>
      </c>
      <c r="D102" s="109" t="str">
        <f t="shared" si="16"/>
        <v/>
      </c>
      <c r="E102" s="109" t="str">
        <f>IF(大板!C70="","",大板!C70)</f>
        <v/>
      </c>
      <c r="F102" s="110" t="str">
        <f t="shared" si="17"/>
        <v/>
      </c>
      <c r="G102" s="110" t="str">
        <f>IF(大板!E70="","",大板!E70)</f>
        <v/>
      </c>
      <c r="H102" s="110" t="str">
        <f t="shared" si="18"/>
        <v/>
      </c>
      <c r="I102" s="110" t="str">
        <f>IF(大板!F70="","",大板!F70)</f>
        <v/>
      </c>
      <c r="J102" s="110" t="str">
        <f t="shared" si="19"/>
        <v/>
      </c>
      <c r="K102" s="111" t="str">
        <f>TEXT(大板!I70,"#0.00;;;")</f>
        <v/>
      </c>
    </row>
    <row r="103" spans="2:12" ht="17.399999999999999">
      <c r="B103" s="108" t="str">
        <f>TEXT(C103,"5;;;")</f>
        <v/>
      </c>
      <c r="C103" s="109" t="str">
        <f>IF(大板!B71="","",大板!B71)</f>
        <v/>
      </c>
      <c r="D103" s="109" t="str">
        <f t="shared" si="16"/>
        <v/>
      </c>
      <c r="E103" s="109" t="str">
        <f>IF(大板!C71="","",大板!C71)</f>
        <v/>
      </c>
      <c r="F103" s="110" t="str">
        <f t="shared" si="17"/>
        <v/>
      </c>
      <c r="G103" s="110" t="str">
        <f>IF(大板!E71="","",大板!E71)</f>
        <v/>
      </c>
      <c r="H103" s="110" t="str">
        <f t="shared" si="18"/>
        <v/>
      </c>
      <c r="I103" s="110" t="str">
        <f>IF(大板!F71="","",大板!F71)</f>
        <v/>
      </c>
      <c r="J103" s="110" t="str">
        <f t="shared" si="19"/>
        <v/>
      </c>
      <c r="K103" s="111" t="str">
        <f>TEXT(大板!I71,"#0.00;;;")</f>
        <v/>
      </c>
    </row>
    <row r="104" spans="2:12" ht="17.399999999999999">
      <c r="B104" s="108" t="str">
        <f>TEXT(C104,"6;;;")</f>
        <v/>
      </c>
      <c r="C104" s="109" t="str">
        <f>IF(大板!B72="","",大板!B72)</f>
        <v/>
      </c>
      <c r="D104" s="109" t="str">
        <f t="shared" si="16"/>
        <v/>
      </c>
      <c r="E104" s="109" t="str">
        <f>IF(大板!C72="","",大板!C72)</f>
        <v/>
      </c>
      <c r="F104" s="110" t="str">
        <f t="shared" si="17"/>
        <v/>
      </c>
      <c r="G104" s="110" t="str">
        <f>IF(大板!E72="","",大板!E72)</f>
        <v/>
      </c>
      <c r="H104" s="110" t="str">
        <f t="shared" si="18"/>
        <v/>
      </c>
      <c r="I104" s="110" t="str">
        <f>IF(大板!F72="","",大板!F72)</f>
        <v/>
      </c>
      <c r="J104" s="110" t="str">
        <f t="shared" si="19"/>
        <v/>
      </c>
      <c r="K104" s="111" t="str">
        <f>TEXT(大板!I72,"#0.00;;;")</f>
        <v/>
      </c>
    </row>
    <row r="105" spans="2:12" ht="17.399999999999999">
      <c r="B105" s="108" t="str">
        <f>TEXT(C105,"7;;;")</f>
        <v/>
      </c>
      <c r="C105" s="109" t="str">
        <f>IF(大板!B73="","",大板!B73)</f>
        <v/>
      </c>
      <c r="D105" s="109" t="str">
        <f t="shared" si="16"/>
        <v/>
      </c>
      <c r="E105" s="109" t="str">
        <f>IF(大板!C73="","",大板!C73)</f>
        <v/>
      </c>
      <c r="F105" s="110" t="str">
        <f t="shared" si="17"/>
        <v/>
      </c>
      <c r="G105" s="110" t="str">
        <f>IF(大板!E73="","",大板!E73)</f>
        <v/>
      </c>
      <c r="H105" s="110" t="str">
        <f t="shared" si="18"/>
        <v/>
      </c>
      <c r="I105" s="110" t="str">
        <f>IF(大板!F73="","",大板!F73)</f>
        <v/>
      </c>
      <c r="J105" s="110" t="str">
        <f t="shared" si="19"/>
        <v/>
      </c>
      <c r="K105" s="111" t="str">
        <f>TEXT(大板!I73,"#0.00;;;")</f>
        <v/>
      </c>
    </row>
    <row r="106" spans="2:12" ht="17.399999999999999">
      <c r="B106" s="108" t="str">
        <f>TEXT(C106,"8;;;")</f>
        <v/>
      </c>
      <c r="C106" s="109" t="str">
        <f>IF(大板!B74="","",大板!B74)</f>
        <v/>
      </c>
      <c r="D106" s="109" t="str">
        <f t="shared" si="16"/>
        <v/>
      </c>
      <c r="E106" s="109" t="str">
        <f>IF(大板!C74="","",大板!C74)</f>
        <v/>
      </c>
      <c r="F106" s="110" t="str">
        <f t="shared" si="17"/>
        <v/>
      </c>
      <c r="G106" s="110" t="str">
        <f>IF(大板!E74="","",大板!E74)</f>
        <v/>
      </c>
      <c r="H106" s="110" t="str">
        <f t="shared" si="18"/>
        <v/>
      </c>
      <c r="I106" s="110" t="str">
        <f>IF(大板!F74="","",大板!F74)</f>
        <v/>
      </c>
      <c r="J106" s="110" t="str">
        <f t="shared" si="19"/>
        <v/>
      </c>
      <c r="K106" s="111" t="str">
        <f>TEXT(大板!I74,"#0.00;;;")</f>
        <v/>
      </c>
    </row>
    <row r="107" spans="2:12" ht="17.399999999999999">
      <c r="B107" s="108" t="str">
        <f>TEXT(C107,"9;;;")</f>
        <v/>
      </c>
      <c r="C107" s="109" t="str">
        <f>IF(大板!B75="","",大板!B75)</f>
        <v/>
      </c>
      <c r="D107" s="109" t="str">
        <f t="shared" si="16"/>
        <v/>
      </c>
      <c r="E107" s="109" t="str">
        <f>IF(大板!C75="","",大板!C75)</f>
        <v/>
      </c>
      <c r="F107" s="110" t="str">
        <f t="shared" si="17"/>
        <v/>
      </c>
      <c r="G107" s="110" t="str">
        <f>IF(大板!E75="","",大板!E75)</f>
        <v/>
      </c>
      <c r="H107" s="110" t="str">
        <f t="shared" si="18"/>
        <v/>
      </c>
      <c r="I107" s="110" t="str">
        <f>IF(大板!F75="","",大板!F75)</f>
        <v/>
      </c>
      <c r="J107" s="110" t="str">
        <f t="shared" si="19"/>
        <v/>
      </c>
      <c r="K107" s="111" t="str">
        <f>TEXT(大板!I75,"#0.00;;;")</f>
        <v/>
      </c>
    </row>
    <row r="108" spans="2:12" ht="17.399999999999999">
      <c r="B108" s="108" t="str">
        <f>IF(ISNUMBER(C108),"10","")</f>
        <v/>
      </c>
      <c r="C108" s="109" t="str">
        <f>IF(大板!B76="","",大板!B76)</f>
        <v/>
      </c>
      <c r="D108" s="109" t="str">
        <f t="shared" si="16"/>
        <v/>
      </c>
      <c r="E108" s="109" t="str">
        <f>IF(大板!C76="","",大板!C76)</f>
        <v/>
      </c>
      <c r="F108" s="110" t="str">
        <f t="shared" si="17"/>
        <v/>
      </c>
      <c r="G108" s="110" t="str">
        <f>IF(大板!E76="","",大板!E76)</f>
        <v/>
      </c>
      <c r="H108" s="110" t="str">
        <f t="shared" si="18"/>
        <v/>
      </c>
      <c r="I108" s="110" t="str">
        <f>IF(大板!F76="","",大板!F76)</f>
        <v/>
      </c>
      <c r="J108" s="110" t="str">
        <f t="shared" si="19"/>
        <v/>
      </c>
      <c r="K108" s="111" t="str">
        <f>TEXT(大板!I76,"#0.00;;;")</f>
        <v/>
      </c>
    </row>
    <row r="109" spans="2:12" ht="17.399999999999999">
      <c r="B109" s="108" t="str">
        <f>TEXT(C109,"11;;;")</f>
        <v/>
      </c>
      <c r="C109" s="109" t="str">
        <f>IF(大板!B77="","",大板!B77)</f>
        <v/>
      </c>
      <c r="D109" s="109" t="str">
        <f t="shared" si="16"/>
        <v/>
      </c>
      <c r="E109" s="109" t="str">
        <f>IF(大板!C77="","",大板!C77)</f>
        <v/>
      </c>
      <c r="F109" s="110" t="str">
        <f t="shared" si="17"/>
        <v/>
      </c>
      <c r="G109" s="110" t="str">
        <f>IF(大板!E77="","",大板!E77)</f>
        <v/>
      </c>
      <c r="H109" s="110" t="str">
        <f t="shared" si="18"/>
        <v/>
      </c>
      <c r="I109" s="110" t="str">
        <f>IF(大板!F77="","",大板!F77)</f>
        <v/>
      </c>
      <c r="J109" s="110" t="str">
        <f t="shared" si="19"/>
        <v/>
      </c>
      <c r="K109" s="111" t="str">
        <f>TEXT(大板!I77,"#0.00;;;")</f>
        <v/>
      </c>
    </row>
    <row r="110" spans="2:12" ht="17.399999999999999">
      <c r="B110" s="108" t="str">
        <f>TEXT(C110,"12;;;")</f>
        <v/>
      </c>
      <c r="C110" s="109" t="str">
        <f>IF(大板!B78="","",大板!B78)</f>
        <v/>
      </c>
      <c r="D110" s="109" t="str">
        <f t="shared" si="16"/>
        <v/>
      </c>
      <c r="E110" s="109" t="str">
        <f>IF(大板!C78="","",大板!C78)</f>
        <v/>
      </c>
      <c r="F110" s="110" t="str">
        <f t="shared" si="17"/>
        <v/>
      </c>
      <c r="G110" s="110" t="str">
        <f>IF(大板!E78="","",大板!E78)</f>
        <v/>
      </c>
      <c r="H110" s="110" t="str">
        <f t="shared" si="18"/>
        <v/>
      </c>
      <c r="I110" s="110" t="str">
        <f>IF(大板!F78="","",大板!F78)</f>
        <v/>
      </c>
      <c r="J110" s="110" t="str">
        <f t="shared" si="19"/>
        <v/>
      </c>
      <c r="K110" s="111" t="str">
        <f>TEXT(大板!I78,"#0.00;;;")</f>
        <v/>
      </c>
    </row>
    <row r="111" spans="2:12" ht="17.399999999999999">
      <c r="B111" s="108" t="str">
        <f>TEXT(C111,"13;;;")</f>
        <v/>
      </c>
      <c r="C111" s="109" t="str">
        <f>IF(大板!B79="","",大板!B79)</f>
        <v/>
      </c>
      <c r="D111" s="109" t="str">
        <f t="shared" si="16"/>
        <v/>
      </c>
      <c r="E111" s="109" t="str">
        <f>IF(大板!C79="","",大板!C79)</f>
        <v/>
      </c>
      <c r="F111" s="110" t="str">
        <f t="shared" si="17"/>
        <v/>
      </c>
      <c r="G111" s="110" t="str">
        <f>IF(大板!E79="","",大板!E79)</f>
        <v/>
      </c>
      <c r="H111" s="110" t="str">
        <f t="shared" si="18"/>
        <v/>
      </c>
      <c r="I111" s="110" t="str">
        <f>IF(大板!F79="","",大板!F79)</f>
        <v/>
      </c>
      <c r="J111" s="110" t="str">
        <f t="shared" si="19"/>
        <v/>
      </c>
      <c r="K111" s="111" t="str">
        <f>TEXT(大板!I79,"#0.00;;;")</f>
        <v/>
      </c>
    </row>
    <row r="112" spans="2:12" ht="17.399999999999999">
      <c r="B112" s="108" t="str">
        <f>TEXT(C112,"14;;;")</f>
        <v/>
      </c>
      <c r="C112" s="109" t="str">
        <f>IF(大板!B80="","",大板!B80)</f>
        <v/>
      </c>
      <c r="D112" s="109" t="str">
        <f t="shared" si="16"/>
        <v/>
      </c>
      <c r="E112" s="109" t="str">
        <f>IF(大板!C80="","",大板!C80)</f>
        <v/>
      </c>
      <c r="F112" s="110" t="str">
        <f t="shared" si="17"/>
        <v/>
      </c>
      <c r="G112" s="110" t="str">
        <f>IF(大板!E80="","",大板!E80)</f>
        <v/>
      </c>
      <c r="H112" s="110" t="str">
        <f t="shared" si="18"/>
        <v/>
      </c>
      <c r="I112" s="110" t="str">
        <f>IF(大板!F80="","",大板!F80)</f>
        <v/>
      </c>
      <c r="J112" s="110" t="str">
        <f t="shared" si="19"/>
        <v/>
      </c>
      <c r="K112" s="111" t="str">
        <f>TEXT(大板!I80,"#0.00;;;")</f>
        <v/>
      </c>
    </row>
    <row r="113" spans="2:12" ht="17.399999999999999">
      <c r="B113" s="108" t="str">
        <f>TEXT(C113,"15;;;")</f>
        <v/>
      </c>
      <c r="C113" s="109" t="str">
        <f>IF(大板!B81="","",大板!B81)</f>
        <v/>
      </c>
      <c r="D113" s="109" t="str">
        <f t="shared" si="16"/>
        <v/>
      </c>
      <c r="E113" s="109" t="str">
        <f>IF(大板!C81="","",大板!C81)</f>
        <v/>
      </c>
      <c r="F113" s="110" t="str">
        <f t="shared" si="17"/>
        <v/>
      </c>
      <c r="G113" s="110" t="str">
        <f>IF(大板!E81="","",大板!E81)</f>
        <v/>
      </c>
      <c r="H113" s="110" t="str">
        <f t="shared" si="18"/>
        <v/>
      </c>
      <c r="I113" s="110" t="str">
        <f>IF(大板!F81="","",大板!F81)</f>
        <v/>
      </c>
      <c r="J113" s="110" t="str">
        <f t="shared" si="19"/>
        <v/>
      </c>
      <c r="K113" s="111" t="str">
        <f>TEXT(大板!I81,"#0.00;;;")</f>
        <v/>
      </c>
    </row>
    <row r="114" spans="2:12" ht="17.399999999999999">
      <c r="B114" s="108" t="str">
        <f>TEXT(C114,"16;;;")</f>
        <v/>
      </c>
      <c r="C114" s="109" t="str">
        <f>IF(大板!B82="","",大板!B82)</f>
        <v/>
      </c>
      <c r="D114" s="109" t="str">
        <f t="shared" si="16"/>
        <v/>
      </c>
      <c r="E114" s="109" t="str">
        <f>IF(大板!C82="","",大板!C82)</f>
        <v/>
      </c>
      <c r="F114" s="110" t="str">
        <f t="shared" si="17"/>
        <v/>
      </c>
      <c r="G114" s="110" t="str">
        <f>IF(大板!E82="","",大板!E82)</f>
        <v/>
      </c>
      <c r="H114" s="110" t="str">
        <f t="shared" si="18"/>
        <v/>
      </c>
      <c r="I114" s="110" t="str">
        <f>IF(大板!F82="","",大板!F82)</f>
        <v/>
      </c>
      <c r="J114" s="110" t="str">
        <f t="shared" si="19"/>
        <v/>
      </c>
      <c r="K114" s="111" t="str">
        <f>TEXT(大板!I82,"#0.00;;;")</f>
        <v/>
      </c>
    </row>
    <row r="115" spans="2:12" ht="17.399999999999999">
      <c r="B115" s="108" t="str">
        <f>TEXT(C115,"17;;;")</f>
        <v/>
      </c>
      <c r="C115" s="109" t="str">
        <f>IF(大板!B83="","",大板!B83)</f>
        <v/>
      </c>
      <c r="D115" s="109" t="str">
        <f t="shared" si="16"/>
        <v/>
      </c>
      <c r="E115" s="109" t="str">
        <f>IF(大板!C83="","",大板!C83)</f>
        <v/>
      </c>
      <c r="F115" s="110" t="str">
        <f t="shared" si="17"/>
        <v/>
      </c>
      <c r="G115" s="110" t="str">
        <f>IF(大板!E83="","",大板!E83)</f>
        <v/>
      </c>
      <c r="H115" s="110" t="str">
        <f t="shared" si="18"/>
        <v/>
      </c>
      <c r="I115" s="110" t="str">
        <f>IF(大板!F83="","",大板!F83)</f>
        <v/>
      </c>
      <c r="J115" s="110" t="str">
        <f t="shared" si="19"/>
        <v/>
      </c>
      <c r="K115" s="111" t="str">
        <f>TEXT(大板!I83,"#0.00;;;")</f>
        <v/>
      </c>
    </row>
    <row r="116" spans="2:12" ht="17.399999999999999">
      <c r="B116" s="108" t="str">
        <f>TEXT(C116,"18;;;")</f>
        <v/>
      </c>
      <c r="C116" s="109" t="str">
        <f>IF(大板!B86="","",大板!B86)</f>
        <v/>
      </c>
      <c r="D116" s="109" t="str">
        <f t="shared" si="16"/>
        <v/>
      </c>
      <c r="E116" s="109" t="str">
        <f>IF(大板!C86="","",大板!C86)</f>
        <v/>
      </c>
      <c r="F116" s="110" t="str">
        <f t="shared" si="17"/>
        <v/>
      </c>
      <c r="G116" s="110" t="str">
        <f>IF(大板!E86="","",大板!E86)</f>
        <v/>
      </c>
      <c r="H116" s="110" t="str">
        <f t="shared" si="18"/>
        <v/>
      </c>
      <c r="I116" s="110" t="str">
        <f>IF(大板!F86="","",大板!F86)</f>
        <v/>
      </c>
      <c r="J116" s="110" t="str">
        <f t="shared" si="19"/>
        <v/>
      </c>
      <c r="K116" s="111" t="str">
        <f>TEXT(大板!I86,"#0.00;;;")</f>
        <v/>
      </c>
    </row>
    <row r="117" spans="2:12" ht="17.399999999999999">
      <c r="B117" s="108" t="str">
        <f>TEXT(C117,"19;;;")</f>
        <v/>
      </c>
      <c r="C117" s="109" t="str">
        <f>IF(大板!B87="","",大板!B87)</f>
        <v/>
      </c>
      <c r="D117" s="109" t="str">
        <f t="shared" si="16"/>
        <v/>
      </c>
      <c r="E117" s="109" t="str">
        <f>IF(大板!C87="","",大板!C87)</f>
        <v/>
      </c>
      <c r="F117" s="110" t="str">
        <f t="shared" si="17"/>
        <v/>
      </c>
      <c r="G117" s="110" t="str">
        <f>IF(大板!E87="","",大板!E87)</f>
        <v/>
      </c>
      <c r="H117" s="110" t="str">
        <f t="shared" si="18"/>
        <v/>
      </c>
      <c r="I117" s="110" t="str">
        <f>IF(大板!F87="","",大板!F87)</f>
        <v/>
      </c>
      <c r="J117" s="110" t="str">
        <f t="shared" si="19"/>
        <v/>
      </c>
      <c r="K117" s="111" t="str">
        <f>TEXT(大板!I87,"#0.00;;;")</f>
        <v/>
      </c>
    </row>
    <row r="118" spans="2:12" ht="18" thickBot="1">
      <c r="B118" s="108" t="str">
        <f>IF(ISNUMBER(C118),"20","")</f>
        <v/>
      </c>
      <c r="C118" s="109" t="str">
        <f>IF(大板!B88="","",大板!B88)</f>
        <v/>
      </c>
      <c r="D118" s="109" t="str">
        <f t="shared" si="16"/>
        <v/>
      </c>
      <c r="E118" s="109" t="str">
        <f>IF(大板!C88="","",大板!C88)</f>
        <v/>
      </c>
      <c r="F118" s="110" t="str">
        <f t="shared" si="17"/>
        <v/>
      </c>
      <c r="G118" s="110" t="str">
        <f>IF(大板!E88="","",大板!E88)</f>
        <v/>
      </c>
      <c r="H118" s="110" t="str">
        <f t="shared" si="18"/>
        <v/>
      </c>
      <c r="I118" s="110" t="str">
        <f>IF(大板!F88="","",大板!F88)</f>
        <v/>
      </c>
      <c r="J118" s="110" t="str">
        <f t="shared" si="19"/>
        <v/>
      </c>
      <c r="K118" s="111" t="str">
        <f>TEXT(大板!I88,"#0.00;;;")</f>
        <v/>
      </c>
    </row>
    <row r="119" spans="2:12" s="118" customFormat="1" ht="33" customHeight="1">
      <c r="B119" s="162" t="str">
        <f>"第 5 夹，"&amp;大板!G89&amp;"件, "&amp;TEXT(大板!I89,"0.00")&amp;" ㎡"</f>
        <v>第 5 夹，0件, 0.00 ㎡</v>
      </c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</row>
    <row r="120" spans="2:12" ht="24.6" customHeight="1"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</row>
    <row r="121" spans="2:12" ht="9" customHeight="1">
      <c r="B121" s="108"/>
      <c r="C121" s="109"/>
      <c r="D121" s="109"/>
      <c r="E121" s="109"/>
      <c r="F121" s="110"/>
      <c r="G121" s="110"/>
      <c r="H121" s="110"/>
      <c r="I121" s="110"/>
      <c r="J121" s="110"/>
      <c r="K121" s="110"/>
    </row>
    <row r="122" spans="2:12" ht="17.399999999999999">
      <c r="B122" s="108" t="str">
        <f>TEXT(C122,"1;1;;")</f>
        <v/>
      </c>
      <c r="C122" s="109" t="str">
        <f>IF(大板!L67="","",大板!L67)</f>
        <v/>
      </c>
      <c r="D122" s="109" t="str">
        <f>IF(ISNUMBER(C122),"*","")</f>
        <v/>
      </c>
      <c r="E122" s="109" t="str">
        <f>IF(大板!M67="","",大板!M67)</f>
        <v/>
      </c>
      <c r="F122" s="110" t="str">
        <f>IF(ISNUMBER(G122),"(","")</f>
        <v/>
      </c>
      <c r="G122" s="110" t="str">
        <f>IF(大板!O67="","",大板!O67)</f>
        <v/>
      </c>
      <c r="H122" s="110" t="str">
        <f>IF(ISNUMBER(G122),"*","")</f>
        <v/>
      </c>
      <c r="I122" s="110" t="str">
        <f>IF(大板!P67="","",大板!P67)</f>
        <v/>
      </c>
      <c r="J122" s="110" t="str">
        <f>IF(ISNUMBER(I122),")","")</f>
        <v/>
      </c>
      <c r="K122" s="111" t="str">
        <f>TEXT(大板!S67,"#0.00;;;")</f>
        <v/>
      </c>
    </row>
    <row r="123" spans="2:12" ht="17.399999999999999">
      <c r="B123" s="108" t="str">
        <f>TEXT(C123,"2;;;")</f>
        <v/>
      </c>
      <c r="C123" s="109" t="str">
        <f>IF(大板!L68="","",大板!L68)</f>
        <v/>
      </c>
      <c r="D123" s="109" t="str">
        <f t="shared" ref="D123:D141" si="20">IF(ISNUMBER(C123),"*","")</f>
        <v/>
      </c>
      <c r="E123" s="109" t="str">
        <f>IF(大板!M68="","",大板!M68)</f>
        <v/>
      </c>
      <c r="F123" s="110" t="str">
        <f t="shared" ref="F123:F141" si="21">IF(ISNUMBER(G123),"(","")</f>
        <v/>
      </c>
      <c r="G123" s="110" t="str">
        <f>IF(大板!O68="","",大板!O68)</f>
        <v/>
      </c>
      <c r="H123" s="110" t="str">
        <f t="shared" ref="H123:H141" si="22">IF(ISNUMBER(G123),"*","")</f>
        <v/>
      </c>
      <c r="I123" s="110" t="str">
        <f>IF(大板!P68="","",大板!P68)</f>
        <v/>
      </c>
      <c r="J123" s="110" t="str">
        <f t="shared" ref="J123:J141" si="23">IF(ISNUMBER(I123),")","")</f>
        <v/>
      </c>
      <c r="K123" s="111" t="str">
        <f>TEXT(大板!S68,"#0.00;;;")</f>
        <v/>
      </c>
    </row>
    <row r="124" spans="2:12" ht="17.399999999999999">
      <c r="B124" s="108" t="str">
        <f>TEXT(C124,"3;;;")</f>
        <v/>
      </c>
      <c r="C124" s="109" t="str">
        <f>IF(大板!L69="","",大板!L69)</f>
        <v/>
      </c>
      <c r="D124" s="109" t="str">
        <f t="shared" si="20"/>
        <v/>
      </c>
      <c r="E124" s="109" t="str">
        <f>IF(大板!M69="","",大板!M69)</f>
        <v/>
      </c>
      <c r="F124" s="110" t="str">
        <f t="shared" si="21"/>
        <v/>
      </c>
      <c r="G124" s="110" t="str">
        <f>IF(大板!O69="","",大板!O69)</f>
        <v/>
      </c>
      <c r="H124" s="110" t="str">
        <f t="shared" si="22"/>
        <v/>
      </c>
      <c r="I124" s="110" t="str">
        <f>IF(大板!P69="","",大板!P69)</f>
        <v/>
      </c>
      <c r="J124" s="110" t="str">
        <f t="shared" si="23"/>
        <v/>
      </c>
      <c r="K124" s="111" t="str">
        <f>TEXT(大板!S69,"#0.00;;;")</f>
        <v/>
      </c>
    </row>
    <row r="125" spans="2:12" ht="17.399999999999999">
      <c r="B125" s="108" t="str">
        <f>TEXT(C125,"4;;;")</f>
        <v/>
      </c>
      <c r="C125" s="109" t="str">
        <f>IF(大板!L70="","",大板!L70)</f>
        <v/>
      </c>
      <c r="D125" s="109" t="str">
        <f t="shared" si="20"/>
        <v/>
      </c>
      <c r="E125" s="109" t="str">
        <f>IF(大板!M70="","",大板!M70)</f>
        <v/>
      </c>
      <c r="F125" s="110" t="str">
        <f t="shared" si="21"/>
        <v/>
      </c>
      <c r="G125" s="110" t="str">
        <f>IF(大板!O70="","",大板!O70)</f>
        <v/>
      </c>
      <c r="H125" s="110" t="str">
        <f t="shared" si="22"/>
        <v/>
      </c>
      <c r="I125" s="110" t="str">
        <f>IF(大板!P70="","",大板!P70)</f>
        <v/>
      </c>
      <c r="J125" s="110" t="str">
        <f t="shared" si="23"/>
        <v/>
      </c>
      <c r="K125" s="111" t="str">
        <f>TEXT(大板!S70,"#0.00;;;")</f>
        <v/>
      </c>
    </row>
    <row r="126" spans="2:12" ht="17.399999999999999">
      <c r="B126" s="108" t="str">
        <f>TEXT(C126,"5;;;")</f>
        <v/>
      </c>
      <c r="C126" s="109" t="str">
        <f>IF(大板!L71="","",大板!L71)</f>
        <v/>
      </c>
      <c r="D126" s="109" t="str">
        <f t="shared" si="20"/>
        <v/>
      </c>
      <c r="E126" s="109" t="str">
        <f>IF(大板!M71="","",大板!M71)</f>
        <v/>
      </c>
      <c r="F126" s="110" t="str">
        <f t="shared" si="21"/>
        <v/>
      </c>
      <c r="G126" s="110" t="str">
        <f>IF(大板!O71="","",大板!O71)</f>
        <v/>
      </c>
      <c r="H126" s="110" t="str">
        <f t="shared" si="22"/>
        <v/>
      </c>
      <c r="I126" s="110" t="str">
        <f>IF(大板!P71="","",大板!P71)</f>
        <v/>
      </c>
      <c r="J126" s="110" t="str">
        <f t="shared" si="23"/>
        <v/>
      </c>
      <c r="K126" s="111" t="str">
        <f>TEXT(大板!S71,"#0.00;;;")</f>
        <v/>
      </c>
    </row>
    <row r="127" spans="2:12" ht="17.399999999999999">
      <c r="B127" s="108" t="str">
        <f>TEXT(C127,"6;;;")</f>
        <v/>
      </c>
      <c r="C127" s="109" t="str">
        <f>IF(大板!L72="","",大板!L72)</f>
        <v/>
      </c>
      <c r="D127" s="109" t="str">
        <f t="shared" si="20"/>
        <v/>
      </c>
      <c r="E127" s="109" t="str">
        <f>IF(大板!M72="","",大板!M72)</f>
        <v/>
      </c>
      <c r="F127" s="110" t="str">
        <f t="shared" si="21"/>
        <v/>
      </c>
      <c r="G127" s="110" t="str">
        <f>IF(大板!O72="","",大板!O72)</f>
        <v/>
      </c>
      <c r="H127" s="110" t="str">
        <f t="shared" si="22"/>
        <v/>
      </c>
      <c r="I127" s="110" t="str">
        <f>IF(大板!P72="","",大板!P72)</f>
        <v/>
      </c>
      <c r="J127" s="110" t="str">
        <f t="shared" si="23"/>
        <v/>
      </c>
      <c r="K127" s="111" t="str">
        <f>TEXT(大板!S72,"#0.00;;;")</f>
        <v/>
      </c>
    </row>
    <row r="128" spans="2:12" ht="17.399999999999999">
      <c r="B128" s="108" t="str">
        <f>TEXT(C128,"7;;;")</f>
        <v/>
      </c>
      <c r="C128" s="109" t="str">
        <f>IF(大板!L73="","",大板!L73)</f>
        <v/>
      </c>
      <c r="D128" s="109" t="str">
        <f t="shared" si="20"/>
        <v/>
      </c>
      <c r="E128" s="109" t="str">
        <f>IF(大板!M73="","",大板!M73)</f>
        <v/>
      </c>
      <c r="F128" s="110" t="str">
        <f t="shared" si="21"/>
        <v/>
      </c>
      <c r="G128" s="110" t="str">
        <f>IF(大板!O73="","",大板!O73)</f>
        <v/>
      </c>
      <c r="H128" s="110" t="str">
        <f t="shared" si="22"/>
        <v/>
      </c>
      <c r="I128" s="110" t="str">
        <f>IF(大板!P73="","",大板!P73)</f>
        <v/>
      </c>
      <c r="J128" s="110" t="str">
        <f t="shared" si="23"/>
        <v/>
      </c>
      <c r="K128" s="111" t="str">
        <f>TEXT(大板!S73,"#0.00;;;")</f>
        <v/>
      </c>
    </row>
    <row r="129" spans="2:12" ht="17.399999999999999">
      <c r="B129" s="108" t="str">
        <f>TEXT(C129,"8;;;")</f>
        <v/>
      </c>
      <c r="C129" s="109" t="str">
        <f>IF(大板!L74="","",大板!L74)</f>
        <v/>
      </c>
      <c r="D129" s="109" t="str">
        <f t="shared" si="20"/>
        <v/>
      </c>
      <c r="E129" s="109" t="str">
        <f>IF(大板!M74="","",大板!M74)</f>
        <v/>
      </c>
      <c r="F129" s="110" t="str">
        <f t="shared" si="21"/>
        <v/>
      </c>
      <c r="G129" s="110" t="str">
        <f>IF(大板!O74="","",大板!O74)</f>
        <v/>
      </c>
      <c r="H129" s="110" t="str">
        <f t="shared" si="22"/>
        <v/>
      </c>
      <c r="I129" s="110" t="str">
        <f>IF(大板!P74="","",大板!P74)</f>
        <v/>
      </c>
      <c r="J129" s="110" t="str">
        <f t="shared" si="23"/>
        <v/>
      </c>
      <c r="K129" s="111" t="str">
        <f>TEXT(大板!S74,"#0.00;;;")</f>
        <v/>
      </c>
    </row>
    <row r="130" spans="2:12" ht="17.399999999999999">
      <c r="B130" s="108" t="str">
        <f>TEXT(C130,"9;;;")</f>
        <v/>
      </c>
      <c r="C130" s="109" t="str">
        <f>IF(大板!L75="","",大板!L75)</f>
        <v/>
      </c>
      <c r="D130" s="109" t="str">
        <f t="shared" si="20"/>
        <v/>
      </c>
      <c r="E130" s="109" t="str">
        <f>IF(大板!M75="","",大板!M75)</f>
        <v/>
      </c>
      <c r="F130" s="110" t="str">
        <f t="shared" si="21"/>
        <v/>
      </c>
      <c r="G130" s="110" t="str">
        <f>IF(大板!O75="","",大板!O75)</f>
        <v/>
      </c>
      <c r="H130" s="110" t="str">
        <f t="shared" si="22"/>
        <v/>
      </c>
      <c r="I130" s="110" t="str">
        <f>IF(大板!P75="","",大板!P75)</f>
        <v/>
      </c>
      <c r="J130" s="110" t="str">
        <f t="shared" si="23"/>
        <v/>
      </c>
      <c r="K130" s="111" t="str">
        <f>TEXT(大板!S75,"#0.00;;;")</f>
        <v/>
      </c>
    </row>
    <row r="131" spans="2:12" ht="17.399999999999999">
      <c r="B131" s="108" t="str">
        <f>IF(ISNUMBER(C131),"10","")</f>
        <v/>
      </c>
      <c r="C131" s="109" t="str">
        <f>IF(大板!L76="","",大板!L76)</f>
        <v/>
      </c>
      <c r="D131" s="109" t="str">
        <f t="shared" si="20"/>
        <v/>
      </c>
      <c r="E131" s="109" t="str">
        <f>IF(大板!M76="","",大板!M76)</f>
        <v/>
      </c>
      <c r="F131" s="110" t="str">
        <f t="shared" si="21"/>
        <v/>
      </c>
      <c r="G131" s="110" t="str">
        <f>IF(大板!O76="","",大板!O76)</f>
        <v/>
      </c>
      <c r="H131" s="110" t="str">
        <f t="shared" si="22"/>
        <v/>
      </c>
      <c r="I131" s="110" t="str">
        <f>IF(大板!P76="","",大板!P76)</f>
        <v/>
      </c>
      <c r="J131" s="110" t="str">
        <f t="shared" si="23"/>
        <v/>
      </c>
      <c r="K131" s="111" t="str">
        <f>TEXT(大板!S76,"#0.00;;;")</f>
        <v/>
      </c>
    </row>
    <row r="132" spans="2:12" ht="17.399999999999999">
      <c r="B132" s="108" t="str">
        <f>TEXT(C132,"11;;;")</f>
        <v/>
      </c>
      <c r="C132" s="109" t="str">
        <f>IF(大板!L77="","",大板!L77)</f>
        <v/>
      </c>
      <c r="D132" s="109" t="str">
        <f t="shared" si="20"/>
        <v/>
      </c>
      <c r="E132" s="109" t="str">
        <f>IF(大板!M77="","",大板!M77)</f>
        <v/>
      </c>
      <c r="F132" s="110" t="str">
        <f t="shared" si="21"/>
        <v/>
      </c>
      <c r="G132" s="110" t="str">
        <f>IF(大板!O77="","",大板!O77)</f>
        <v/>
      </c>
      <c r="H132" s="110" t="str">
        <f t="shared" si="22"/>
        <v/>
      </c>
      <c r="I132" s="110" t="str">
        <f>IF(大板!P77="","",大板!P77)</f>
        <v/>
      </c>
      <c r="J132" s="110" t="str">
        <f t="shared" si="23"/>
        <v/>
      </c>
      <c r="K132" s="111" t="str">
        <f>TEXT(大板!S77,"#0.00;;;")</f>
        <v/>
      </c>
    </row>
    <row r="133" spans="2:12" ht="17.399999999999999">
      <c r="B133" s="108" t="str">
        <f>TEXT(C133,"12;;;")</f>
        <v/>
      </c>
      <c r="C133" s="109" t="str">
        <f>IF(大板!L78="","",大板!L78)</f>
        <v/>
      </c>
      <c r="D133" s="109" t="str">
        <f t="shared" si="20"/>
        <v/>
      </c>
      <c r="E133" s="109" t="str">
        <f>IF(大板!M78="","",大板!M78)</f>
        <v/>
      </c>
      <c r="F133" s="110" t="str">
        <f t="shared" si="21"/>
        <v/>
      </c>
      <c r="G133" s="110" t="str">
        <f>IF(大板!O78="","",大板!O78)</f>
        <v/>
      </c>
      <c r="H133" s="110" t="str">
        <f t="shared" si="22"/>
        <v/>
      </c>
      <c r="I133" s="110" t="str">
        <f>IF(大板!P78="","",大板!P78)</f>
        <v/>
      </c>
      <c r="J133" s="110" t="str">
        <f t="shared" si="23"/>
        <v/>
      </c>
      <c r="K133" s="111" t="str">
        <f>TEXT(大板!S78,"#0.00;;;")</f>
        <v/>
      </c>
    </row>
    <row r="134" spans="2:12" ht="17.399999999999999">
      <c r="B134" s="108" t="str">
        <f>TEXT(C134,"13;;;")</f>
        <v/>
      </c>
      <c r="C134" s="109" t="str">
        <f>IF(大板!L79="","",大板!L79)</f>
        <v/>
      </c>
      <c r="D134" s="109" t="str">
        <f t="shared" si="20"/>
        <v/>
      </c>
      <c r="E134" s="109" t="str">
        <f>IF(大板!M79="","",大板!M79)</f>
        <v/>
      </c>
      <c r="F134" s="110" t="str">
        <f t="shared" si="21"/>
        <v/>
      </c>
      <c r="G134" s="110" t="str">
        <f>IF(大板!O79="","",大板!O79)</f>
        <v/>
      </c>
      <c r="H134" s="110" t="str">
        <f t="shared" si="22"/>
        <v/>
      </c>
      <c r="I134" s="110" t="str">
        <f>IF(大板!P79="","",大板!P79)</f>
        <v/>
      </c>
      <c r="J134" s="110" t="str">
        <f t="shared" si="23"/>
        <v/>
      </c>
      <c r="K134" s="111" t="str">
        <f>TEXT(大板!S79,"#0.00;;;")</f>
        <v/>
      </c>
    </row>
    <row r="135" spans="2:12" ht="17.399999999999999">
      <c r="B135" s="108" t="str">
        <f>TEXT(C135,"14;;;")</f>
        <v/>
      </c>
      <c r="C135" s="109" t="str">
        <f>IF(大板!L80="","",大板!L80)</f>
        <v/>
      </c>
      <c r="D135" s="109" t="str">
        <f t="shared" si="20"/>
        <v/>
      </c>
      <c r="E135" s="109" t="str">
        <f>IF(大板!M80="","",大板!M80)</f>
        <v/>
      </c>
      <c r="F135" s="110" t="str">
        <f t="shared" si="21"/>
        <v/>
      </c>
      <c r="G135" s="110" t="str">
        <f>IF(大板!O80="","",大板!O80)</f>
        <v/>
      </c>
      <c r="H135" s="110" t="str">
        <f t="shared" si="22"/>
        <v/>
      </c>
      <c r="I135" s="110" t="str">
        <f>IF(大板!P80="","",大板!P80)</f>
        <v/>
      </c>
      <c r="J135" s="110" t="str">
        <f t="shared" si="23"/>
        <v/>
      </c>
      <c r="K135" s="111" t="str">
        <f>TEXT(大板!S80,"#0.00;;;")</f>
        <v/>
      </c>
    </row>
    <row r="136" spans="2:12" ht="17.399999999999999">
      <c r="B136" s="108" t="str">
        <f>TEXT(C136,"15;;;")</f>
        <v/>
      </c>
      <c r="C136" s="109" t="str">
        <f>IF(大板!L81="","",大板!L81)</f>
        <v/>
      </c>
      <c r="D136" s="109" t="str">
        <f t="shared" si="20"/>
        <v/>
      </c>
      <c r="E136" s="109" t="str">
        <f>IF(大板!M81="","",大板!M81)</f>
        <v/>
      </c>
      <c r="F136" s="110" t="str">
        <f t="shared" si="21"/>
        <v/>
      </c>
      <c r="G136" s="110" t="str">
        <f>IF(大板!O81="","",大板!O81)</f>
        <v/>
      </c>
      <c r="H136" s="110" t="str">
        <f t="shared" si="22"/>
        <v/>
      </c>
      <c r="I136" s="110" t="str">
        <f>IF(大板!P81="","",大板!P81)</f>
        <v/>
      </c>
      <c r="J136" s="110" t="str">
        <f t="shared" si="23"/>
        <v/>
      </c>
      <c r="K136" s="111" t="str">
        <f>TEXT(大板!S81,"#0.00;;;")</f>
        <v/>
      </c>
    </row>
    <row r="137" spans="2:12" ht="17.399999999999999">
      <c r="B137" s="108" t="str">
        <f>TEXT(C137,"16;;;")</f>
        <v/>
      </c>
      <c r="C137" s="109" t="str">
        <f>IF(大板!L82="","",大板!L82)</f>
        <v/>
      </c>
      <c r="D137" s="109" t="str">
        <f t="shared" si="20"/>
        <v/>
      </c>
      <c r="E137" s="109" t="str">
        <f>IF(大板!M82="","",大板!M82)</f>
        <v/>
      </c>
      <c r="F137" s="110" t="str">
        <f t="shared" si="21"/>
        <v/>
      </c>
      <c r="G137" s="110" t="str">
        <f>IF(大板!O82="","",大板!O82)</f>
        <v/>
      </c>
      <c r="H137" s="110" t="str">
        <f t="shared" si="22"/>
        <v/>
      </c>
      <c r="I137" s="110" t="str">
        <f>IF(大板!P82="","",大板!P82)</f>
        <v/>
      </c>
      <c r="J137" s="110" t="str">
        <f t="shared" si="23"/>
        <v/>
      </c>
      <c r="K137" s="111" t="str">
        <f>TEXT(大板!S82,"#0.00;;;")</f>
        <v/>
      </c>
    </row>
    <row r="138" spans="2:12" ht="17.399999999999999">
      <c r="B138" s="108" t="str">
        <f>TEXT(C138,"17;;;")</f>
        <v/>
      </c>
      <c r="C138" s="109" t="str">
        <f>IF(大板!L83="","",大板!L83)</f>
        <v/>
      </c>
      <c r="D138" s="109" t="str">
        <f t="shared" si="20"/>
        <v/>
      </c>
      <c r="E138" s="109" t="str">
        <f>IF(大板!M83="","",大板!M83)</f>
        <v/>
      </c>
      <c r="F138" s="110" t="str">
        <f t="shared" si="21"/>
        <v/>
      </c>
      <c r="G138" s="110" t="str">
        <f>IF(大板!O83="","",大板!O83)</f>
        <v/>
      </c>
      <c r="H138" s="110" t="str">
        <f t="shared" si="22"/>
        <v/>
      </c>
      <c r="I138" s="110" t="str">
        <f>IF(大板!P83="","",大板!P83)</f>
        <v/>
      </c>
      <c r="J138" s="110" t="str">
        <f t="shared" si="23"/>
        <v/>
      </c>
      <c r="K138" s="111" t="str">
        <f>TEXT(大板!S83,"#0.00;;;")</f>
        <v/>
      </c>
    </row>
    <row r="139" spans="2:12" ht="17.399999999999999">
      <c r="B139" s="108" t="str">
        <f>TEXT(C139,"18;;;")</f>
        <v/>
      </c>
      <c r="C139" s="109" t="str">
        <f>IF(大板!L86="","",大板!L86)</f>
        <v/>
      </c>
      <c r="D139" s="109" t="str">
        <f t="shared" si="20"/>
        <v/>
      </c>
      <c r="E139" s="109" t="str">
        <f>IF(大板!M86="","",大板!M86)</f>
        <v/>
      </c>
      <c r="F139" s="110" t="str">
        <f t="shared" si="21"/>
        <v/>
      </c>
      <c r="G139" s="110" t="str">
        <f>IF(大板!O86="","",大板!O86)</f>
        <v/>
      </c>
      <c r="H139" s="110" t="str">
        <f t="shared" si="22"/>
        <v/>
      </c>
      <c r="I139" s="110" t="str">
        <f>IF(大板!P86="","",大板!P86)</f>
        <v/>
      </c>
      <c r="J139" s="110" t="str">
        <f t="shared" si="23"/>
        <v/>
      </c>
      <c r="K139" s="111" t="str">
        <f>TEXT(大板!S86,"#0.00;;;")</f>
        <v/>
      </c>
    </row>
    <row r="140" spans="2:12" ht="17.399999999999999">
      <c r="B140" s="108" t="str">
        <f>TEXT(C140,"19;;;")</f>
        <v/>
      </c>
      <c r="C140" s="109" t="str">
        <f>IF(大板!L87="","",大板!L87)</f>
        <v/>
      </c>
      <c r="D140" s="109" t="str">
        <f t="shared" si="20"/>
        <v/>
      </c>
      <c r="E140" s="109" t="str">
        <f>IF(大板!M87="","",大板!M87)</f>
        <v/>
      </c>
      <c r="F140" s="110" t="str">
        <f t="shared" si="21"/>
        <v/>
      </c>
      <c r="G140" s="110" t="str">
        <f>IF(大板!O87="","",大板!O87)</f>
        <v/>
      </c>
      <c r="H140" s="110" t="str">
        <f t="shared" si="22"/>
        <v/>
      </c>
      <c r="I140" s="110" t="str">
        <f>IF(大板!P87="","",大板!P87)</f>
        <v/>
      </c>
      <c r="J140" s="110" t="str">
        <f t="shared" si="23"/>
        <v/>
      </c>
      <c r="K140" s="111" t="str">
        <f>TEXT(大板!S87,"#0.00;;;")</f>
        <v/>
      </c>
    </row>
    <row r="141" spans="2:12" ht="18" thickBot="1">
      <c r="B141" s="108" t="str">
        <f>IF(ISNUMBER(C141),"20","")</f>
        <v/>
      </c>
      <c r="C141" s="109" t="str">
        <f>IF(大板!L88="","",大板!L88)</f>
        <v/>
      </c>
      <c r="D141" s="109" t="str">
        <f t="shared" si="20"/>
        <v/>
      </c>
      <c r="E141" s="109" t="str">
        <f>IF(大板!M88="","",大板!M88)</f>
        <v/>
      </c>
      <c r="F141" s="110" t="str">
        <f t="shared" si="21"/>
        <v/>
      </c>
      <c r="G141" s="110" t="str">
        <f>IF(大板!O88="","",大板!O88)</f>
        <v/>
      </c>
      <c r="H141" s="110" t="str">
        <f t="shared" si="22"/>
        <v/>
      </c>
      <c r="I141" s="110" t="str">
        <f>IF(大板!P88="","",大板!P88)</f>
        <v/>
      </c>
      <c r="J141" s="110" t="str">
        <f t="shared" si="23"/>
        <v/>
      </c>
      <c r="K141" s="111" t="str">
        <f>TEXT(大板!S88,"#0.00;;;")</f>
        <v/>
      </c>
    </row>
    <row r="142" spans="2:12" s="118" customFormat="1" ht="33" customHeight="1">
      <c r="B142" s="162" t="str">
        <f>"第 6 夹，"&amp;大板!Q89&amp;"件, "&amp;TEXT(大板!S89,"0.00")&amp;" ㎡"</f>
        <v>第 6 夹，0件, 0.00 ㎡</v>
      </c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</row>
    <row r="143" spans="2:12" ht="24.6" customHeight="1"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</row>
    <row r="144" spans="2:12" ht="9" customHeight="1">
      <c r="B144" s="108"/>
      <c r="C144" s="109"/>
      <c r="D144" s="109"/>
      <c r="E144" s="109"/>
      <c r="F144" s="110"/>
      <c r="G144" s="110"/>
      <c r="H144" s="110"/>
      <c r="I144" s="110"/>
      <c r="J144" s="110"/>
      <c r="K144" s="110"/>
    </row>
    <row r="145" spans="2:11" ht="17.399999999999999">
      <c r="B145" s="108" t="str">
        <f>TEXT(C145,"1;1;;")</f>
        <v/>
      </c>
      <c r="C145" s="109" t="str">
        <f>IF(大板!B94="","",大板!B94)</f>
        <v/>
      </c>
      <c r="D145" s="109" t="str">
        <f>IF(ISNUMBER(C145),"*","")</f>
        <v/>
      </c>
      <c r="E145" s="109" t="str">
        <f>IF(大板!C94="","",大板!C94)</f>
        <v/>
      </c>
      <c r="F145" s="110" t="str">
        <f>IF(ISNUMBER(G145),"(","")</f>
        <v/>
      </c>
      <c r="G145" s="110" t="str">
        <f>IF(大板!E94="","",大板!E94)</f>
        <v/>
      </c>
      <c r="H145" s="110" t="str">
        <f>IF(ISNUMBER(G145),"*","")</f>
        <v/>
      </c>
      <c r="I145" s="110" t="str">
        <f>IF(大板!F94="","",大板!F94)</f>
        <v/>
      </c>
      <c r="J145" s="110" t="str">
        <f>IF(ISNUMBER(I145),")","")</f>
        <v/>
      </c>
      <c r="K145" s="111" t="str">
        <f>TEXT(大板!I94,"#0.00;;;")</f>
        <v/>
      </c>
    </row>
    <row r="146" spans="2:11" ht="17.399999999999999">
      <c r="B146" s="108" t="str">
        <f>TEXT(C146,"2;;;")</f>
        <v/>
      </c>
      <c r="C146" s="109" t="str">
        <f>IF(大板!B95="","",大板!B95)</f>
        <v/>
      </c>
      <c r="D146" s="109" t="str">
        <f t="shared" ref="D146:D164" si="24">IF(ISNUMBER(C146),"*","")</f>
        <v/>
      </c>
      <c r="E146" s="109" t="str">
        <f>IF(大板!C95="","",大板!C95)</f>
        <v/>
      </c>
      <c r="F146" s="110" t="str">
        <f t="shared" ref="F146:F164" si="25">IF(ISNUMBER(G146),"(","")</f>
        <v/>
      </c>
      <c r="G146" s="110" t="str">
        <f>IF(大板!E95="","",大板!E95)</f>
        <v/>
      </c>
      <c r="H146" s="110" t="str">
        <f t="shared" ref="H146:H164" si="26">IF(ISNUMBER(G146),"*","")</f>
        <v/>
      </c>
      <c r="I146" s="110" t="str">
        <f>IF(大板!F95="","",大板!F95)</f>
        <v/>
      </c>
      <c r="J146" s="110" t="str">
        <f t="shared" ref="J146:J164" si="27">IF(ISNUMBER(I146),")","")</f>
        <v/>
      </c>
      <c r="K146" s="111" t="str">
        <f>TEXT(大板!I95,"#0.00;;;")</f>
        <v/>
      </c>
    </row>
    <row r="147" spans="2:11" ht="17.399999999999999">
      <c r="B147" s="108" t="str">
        <f>TEXT(C147,"3;;;")</f>
        <v/>
      </c>
      <c r="C147" s="109" t="str">
        <f>IF(大板!B96="","",大板!B96)</f>
        <v/>
      </c>
      <c r="D147" s="109" t="str">
        <f t="shared" si="24"/>
        <v/>
      </c>
      <c r="E147" s="109" t="str">
        <f>IF(大板!C96="","",大板!C96)</f>
        <v/>
      </c>
      <c r="F147" s="110" t="str">
        <f t="shared" si="25"/>
        <v/>
      </c>
      <c r="G147" s="110" t="str">
        <f>IF(大板!E96="","",大板!E96)</f>
        <v/>
      </c>
      <c r="H147" s="110" t="str">
        <f t="shared" si="26"/>
        <v/>
      </c>
      <c r="I147" s="110" t="str">
        <f>IF(大板!F96="","",大板!F96)</f>
        <v/>
      </c>
      <c r="J147" s="110" t="str">
        <f t="shared" si="27"/>
        <v/>
      </c>
      <c r="K147" s="111" t="str">
        <f>TEXT(大板!I96,"#0.00;;;")</f>
        <v/>
      </c>
    </row>
    <row r="148" spans="2:11" ht="17.399999999999999">
      <c r="B148" s="108" t="str">
        <f>TEXT(C148,"4;;;")</f>
        <v/>
      </c>
      <c r="C148" s="109" t="str">
        <f>IF(大板!B97="","",大板!B97)</f>
        <v/>
      </c>
      <c r="D148" s="109" t="str">
        <f t="shared" si="24"/>
        <v/>
      </c>
      <c r="E148" s="109" t="str">
        <f>IF(大板!C97="","",大板!C97)</f>
        <v/>
      </c>
      <c r="F148" s="110" t="str">
        <f t="shared" si="25"/>
        <v/>
      </c>
      <c r="G148" s="110" t="str">
        <f>IF(大板!E97="","",大板!E97)</f>
        <v/>
      </c>
      <c r="H148" s="110" t="str">
        <f t="shared" si="26"/>
        <v/>
      </c>
      <c r="I148" s="110" t="str">
        <f>IF(大板!F97="","",大板!F97)</f>
        <v/>
      </c>
      <c r="J148" s="110" t="str">
        <f t="shared" si="27"/>
        <v/>
      </c>
      <c r="K148" s="111" t="str">
        <f>TEXT(大板!I97,"#0.00;;;")</f>
        <v/>
      </c>
    </row>
    <row r="149" spans="2:11" ht="17.399999999999999">
      <c r="B149" s="108" t="str">
        <f>TEXT(C149,"5;;;")</f>
        <v/>
      </c>
      <c r="C149" s="109" t="str">
        <f>IF(大板!B98="","",大板!B98)</f>
        <v/>
      </c>
      <c r="D149" s="109" t="str">
        <f t="shared" si="24"/>
        <v/>
      </c>
      <c r="E149" s="109" t="str">
        <f>IF(大板!C98="","",大板!C98)</f>
        <v/>
      </c>
      <c r="F149" s="110" t="str">
        <f t="shared" si="25"/>
        <v/>
      </c>
      <c r="G149" s="110" t="str">
        <f>IF(大板!E98="","",大板!E98)</f>
        <v/>
      </c>
      <c r="H149" s="110" t="str">
        <f t="shared" si="26"/>
        <v/>
      </c>
      <c r="I149" s="110" t="str">
        <f>IF(大板!F98="","",大板!F98)</f>
        <v/>
      </c>
      <c r="J149" s="110" t="str">
        <f t="shared" si="27"/>
        <v/>
      </c>
      <c r="K149" s="111" t="str">
        <f>TEXT(大板!I98,"#0.00;;;")</f>
        <v/>
      </c>
    </row>
    <row r="150" spans="2:11" ht="17.399999999999999">
      <c r="B150" s="108" t="str">
        <f>TEXT(C150,"6;;;")</f>
        <v/>
      </c>
      <c r="C150" s="109" t="str">
        <f>IF(大板!B99="","",大板!B99)</f>
        <v/>
      </c>
      <c r="D150" s="109" t="str">
        <f t="shared" si="24"/>
        <v/>
      </c>
      <c r="E150" s="109" t="str">
        <f>IF(大板!C99="","",大板!C99)</f>
        <v/>
      </c>
      <c r="F150" s="110" t="str">
        <f t="shared" si="25"/>
        <v/>
      </c>
      <c r="G150" s="110" t="str">
        <f>IF(大板!E99="","",大板!E99)</f>
        <v/>
      </c>
      <c r="H150" s="110" t="str">
        <f t="shared" si="26"/>
        <v/>
      </c>
      <c r="I150" s="110" t="str">
        <f>IF(大板!F99="","",大板!F99)</f>
        <v/>
      </c>
      <c r="J150" s="110" t="str">
        <f t="shared" si="27"/>
        <v/>
      </c>
      <c r="K150" s="111" t="str">
        <f>TEXT(大板!I99,"#0.00;;;")</f>
        <v/>
      </c>
    </row>
    <row r="151" spans="2:11" ht="17.399999999999999">
      <c r="B151" s="108" t="str">
        <f>TEXT(C151,"7;;;")</f>
        <v/>
      </c>
      <c r="C151" s="109" t="str">
        <f>IF(大板!B100="","",大板!B100)</f>
        <v/>
      </c>
      <c r="D151" s="109" t="str">
        <f t="shared" si="24"/>
        <v/>
      </c>
      <c r="E151" s="109" t="str">
        <f>IF(大板!C100="","",大板!C100)</f>
        <v/>
      </c>
      <c r="F151" s="110" t="str">
        <f t="shared" si="25"/>
        <v/>
      </c>
      <c r="G151" s="110" t="str">
        <f>IF(大板!E100="","",大板!E100)</f>
        <v/>
      </c>
      <c r="H151" s="110" t="str">
        <f t="shared" si="26"/>
        <v/>
      </c>
      <c r="I151" s="110" t="str">
        <f>IF(大板!F100="","",大板!F100)</f>
        <v/>
      </c>
      <c r="J151" s="110" t="str">
        <f t="shared" si="27"/>
        <v/>
      </c>
      <c r="K151" s="111" t="str">
        <f>TEXT(大板!I100,"#0.00;;;")</f>
        <v/>
      </c>
    </row>
    <row r="152" spans="2:11" ht="17.399999999999999">
      <c r="B152" s="108" t="str">
        <f>TEXT(C152,"8;;;")</f>
        <v/>
      </c>
      <c r="C152" s="109" t="str">
        <f>IF(大板!B101="","",大板!B101)</f>
        <v/>
      </c>
      <c r="D152" s="109" t="str">
        <f t="shared" si="24"/>
        <v/>
      </c>
      <c r="E152" s="109" t="str">
        <f>IF(大板!C101="","",大板!C101)</f>
        <v/>
      </c>
      <c r="F152" s="110" t="str">
        <f t="shared" si="25"/>
        <v/>
      </c>
      <c r="G152" s="110" t="str">
        <f>IF(大板!E101="","",大板!E101)</f>
        <v/>
      </c>
      <c r="H152" s="110" t="str">
        <f t="shared" si="26"/>
        <v/>
      </c>
      <c r="I152" s="110" t="str">
        <f>IF(大板!F101="","",大板!F101)</f>
        <v/>
      </c>
      <c r="J152" s="110" t="str">
        <f t="shared" si="27"/>
        <v/>
      </c>
      <c r="K152" s="111" t="str">
        <f>TEXT(大板!I101,"#0.00;;;")</f>
        <v/>
      </c>
    </row>
    <row r="153" spans="2:11" ht="17.399999999999999">
      <c r="B153" s="108" t="str">
        <f>TEXT(C153,"9;;;")</f>
        <v/>
      </c>
      <c r="C153" s="109" t="str">
        <f>IF(大板!B102="","",大板!B102)</f>
        <v/>
      </c>
      <c r="D153" s="109" t="str">
        <f t="shared" si="24"/>
        <v/>
      </c>
      <c r="E153" s="109" t="str">
        <f>IF(大板!C102="","",大板!C102)</f>
        <v/>
      </c>
      <c r="F153" s="110" t="str">
        <f t="shared" si="25"/>
        <v/>
      </c>
      <c r="G153" s="110" t="str">
        <f>IF(大板!E102="","",大板!E102)</f>
        <v/>
      </c>
      <c r="H153" s="110" t="str">
        <f t="shared" si="26"/>
        <v/>
      </c>
      <c r="I153" s="110" t="str">
        <f>IF(大板!F102="","",大板!F102)</f>
        <v/>
      </c>
      <c r="J153" s="110" t="str">
        <f t="shared" si="27"/>
        <v/>
      </c>
      <c r="K153" s="111" t="str">
        <f>TEXT(大板!I102,"#0.00;;;")</f>
        <v/>
      </c>
    </row>
    <row r="154" spans="2:11" ht="17.399999999999999">
      <c r="B154" s="108" t="str">
        <f>IF(ISNUMBER(C154),"10","")</f>
        <v/>
      </c>
      <c r="C154" s="109" t="str">
        <f>IF(大板!B103="","",大板!B103)</f>
        <v/>
      </c>
      <c r="D154" s="109" t="str">
        <f t="shared" si="24"/>
        <v/>
      </c>
      <c r="E154" s="109" t="str">
        <f>IF(大板!C103="","",大板!C103)</f>
        <v/>
      </c>
      <c r="F154" s="110" t="str">
        <f t="shared" si="25"/>
        <v/>
      </c>
      <c r="G154" s="110" t="str">
        <f>IF(大板!E103="","",大板!E103)</f>
        <v/>
      </c>
      <c r="H154" s="110" t="str">
        <f t="shared" si="26"/>
        <v/>
      </c>
      <c r="I154" s="110" t="str">
        <f>IF(大板!F103="","",大板!F103)</f>
        <v/>
      </c>
      <c r="J154" s="110" t="str">
        <f t="shared" si="27"/>
        <v/>
      </c>
      <c r="K154" s="111" t="str">
        <f>TEXT(大板!I103,"#0.00;;;")</f>
        <v/>
      </c>
    </row>
    <row r="155" spans="2:11" ht="17.399999999999999">
      <c r="B155" s="108" t="str">
        <f>TEXT(C155,"11;;;")</f>
        <v/>
      </c>
      <c r="C155" s="109" t="str">
        <f>IF(大板!B104="","",大板!B104)</f>
        <v/>
      </c>
      <c r="D155" s="109" t="str">
        <f t="shared" si="24"/>
        <v/>
      </c>
      <c r="E155" s="109" t="str">
        <f>IF(大板!C104="","",大板!C104)</f>
        <v/>
      </c>
      <c r="F155" s="110" t="str">
        <f t="shared" si="25"/>
        <v/>
      </c>
      <c r="G155" s="110" t="str">
        <f>IF(大板!E104="","",大板!E104)</f>
        <v/>
      </c>
      <c r="H155" s="110" t="str">
        <f t="shared" si="26"/>
        <v/>
      </c>
      <c r="I155" s="110" t="str">
        <f>IF(大板!F104="","",大板!F104)</f>
        <v/>
      </c>
      <c r="J155" s="110" t="str">
        <f t="shared" si="27"/>
        <v/>
      </c>
      <c r="K155" s="111" t="str">
        <f>TEXT(大板!I104,"#0.00;;;")</f>
        <v/>
      </c>
    </row>
    <row r="156" spans="2:11" ht="17.399999999999999">
      <c r="B156" s="108" t="str">
        <f>TEXT(C156,"12;;;")</f>
        <v/>
      </c>
      <c r="C156" s="109" t="str">
        <f>IF(大板!B105="","",大板!B105)</f>
        <v/>
      </c>
      <c r="D156" s="109" t="str">
        <f t="shared" si="24"/>
        <v/>
      </c>
      <c r="E156" s="109" t="str">
        <f>IF(大板!C105="","",大板!C105)</f>
        <v/>
      </c>
      <c r="F156" s="110" t="str">
        <f t="shared" si="25"/>
        <v/>
      </c>
      <c r="G156" s="110" t="str">
        <f>IF(大板!E105="","",大板!E105)</f>
        <v/>
      </c>
      <c r="H156" s="110" t="str">
        <f t="shared" si="26"/>
        <v/>
      </c>
      <c r="I156" s="110" t="str">
        <f>IF(大板!F105="","",大板!F105)</f>
        <v/>
      </c>
      <c r="J156" s="110" t="str">
        <f t="shared" si="27"/>
        <v/>
      </c>
      <c r="K156" s="111" t="str">
        <f>TEXT(大板!I105,"#0.00;;;")</f>
        <v/>
      </c>
    </row>
    <row r="157" spans="2:11" ht="17.399999999999999">
      <c r="B157" s="108" t="str">
        <f>TEXT(C157,"13;;;")</f>
        <v/>
      </c>
      <c r="C157" s="109" t="str">
        <f>IF(大板!B106="","",大板!B106)</f>
        <v/>
      </c>
      <c r="D157" s="109" t="str">
        <f t="shared" si="24"/>
        <v/>
      </c>
      <c r="E157" s="109" t="str">
        <f>IF(大板!C106="","",大板!C106)</f>
        <v/>
      </c>
      <c r="F157" s="110" t="str">
        <f t="shared" si="25"/>
        <v/>
      </c>
      <c r="G157" s="110" t="str">
        <f>IF(大板!E106="","",大板!E106)</f>
        <v/>
      </c>
      <c r="H157" s="110" t="str">
        <f t="shared" si="26"/>
        <v/>
      </c>
      <c r="I157" s="110" t="str">
        <f>IF(大板!F106="","",大板!F106)</f>
        <v/>
      </c>
      <c r="J157" s="110" t="str">
        <f t="shared" si="27"/>
        <v/>
      </c>
      <c r="K157" s="111" t="str">
        <f>TEXT(大板!I106,"#0.00;;;")</f>
        <v/>
      </c>
    </row>
    <row r="158" spans="2:11" ht="17.399999999999999">
      <c r="B158" s="108" t="str">
        <f>TEXT(C158,"14;;;")</f>
        <v/>
      </c>
      <c r="C158" s="109" t="str">
        <f>IF(大板!B107="","",大板!B107)</f>
        <v/>
      </c>
      <c r="D158" s="109" t="str">
        <f t="shared" si="24"/>
        <v/>
      </c>
      <c r="E158" s="109" t="str">
        <f>IF(大板!C107="","",大板!C107)</f>
        <v/>
      </c>
      <c r="F158" s="110" t="str">
        <f t="shared" si="25"/>
        <v/>
      </c>
      <c r="G158" s="110" t="str">
        <f>IF(大板!E107="","",大板!E107)</f>
        <v/>
      </c>
      <c r="H158" s="110" t="str">
        <f t="shared" si="26"/>
        <v/>
      </c>
      <c r="I158" s="110" t="str">
        <f>IF(大板!F107="","",大板!F107)</f>
        <v/>
      </c>
      <c r="J158" s="110" t="str">
        <f t="shared" si="27"/>
        <v/>
      </c>
      <c r="K158" s="111" t="str">
        <f>TEXT(大板!I107,"#0.00;;;")</f>
        <v/>
      </c>
    </row>
    <row r="159" spans="2:11" ht="17.399999999999999">
      <c r="B159" s="108" t="str">
        <f>TEXT(C159,"15;;;")</f>
        <v/>
      </c>
      <c r="C159" s="109" t="str">
        <f>IF(大板!B108="","",大板!B108)</f>
        <v/>
      </c>
      <c r="D159" s="109" t="str">
        <f t="shared" si="24"/>
        <v/>
      </c>
      <c r="E159" s="109" t="str">
        <f>IF(大板!C108="","",大板!C108)</f>
        <v/>
      </c>
      <c r="F159" s="110" t="str">
        <f t="shared" si="25"/>
        <v/>
      </c>
      <c r="G159" s="110" t="str">
        <f>IF(大板!E108="","",大板!E108)</f>
        <v/>
      </c>
      <c r="H159" s="110" t="str">
        <f t="shared" si="26"/>
        <v/>
      </c>
      <c r="I159" s="110" t="str">
        <f>IF(大板!F108="","",大板!F108)</f>
        <v/>
      </c>
      <c r="J159" s="110" t="str">
        <f t="shared" si="27"/>
        <v/>
      </c>
      <c r="K159" s="111" t="str">
        <f>TEXT(大板!I108,"#0.00;;;")</f>
        <v/>
      </c>
    </row>
    <row r="160" spans="2:11" ht="17.399999999999999">
      <c r="B160" s="108" t="str">
        <f>TEXT(C160,"16;;;")</f>
        <v/>
      </c>
      <c r="C160" s="109" t="str">
        <f>IF(大板!B109="","",大板!B109)</f>
        <v/>
      </c>
      <c r="D160" s="109" t="str">
        <f t="shared" si="24"/>
        <v/>
      </c>
      <c r="E160" s="109" t="str">
        <f>IF(大板!C109="","",大板!C109)</f>
        <v/>
      </c>
      <c r="F160" s="110" t="str">
        <f t="shared" si="25"/>
        <v/>
      </c>
      <c r="G160" s="110" t="str">
        <f>IF(大板!E109="","",大板!E109)</f>
        <v/>
      </c>
      <c r="H160" s="110" t="str">
        <f t="shared" si="26"/>
        <v/>
      </c>
      <c r="I160" s="110" t="str">
        <f>IF(大板!F109="","",大板!F109)</f>
        <v/>
      </c>
      <c r="J160" s="110" t="str">
        <f t="shared" si="27"/>
        <v/>
      </c>
      <c r="K160" s="111" t="str">
        <f>TEXT(大板!I109,"#0.00;;;")</f>
        <v/>
      </c>
    </row>
    <row r="161" spans="2:12" ht="17.399999999999999">
      <c r="B161" s="108" t="str">
        <f>TEXT(C161,"17;;;")</f>
        <v/>
      </c>
      <c r="C161" s="109" t="str">
        <f>IF(大板!B110="","",大板!B110)</f>
        <v/>
      </c>
      <c r="D161" s="109" t="str">
        <f t="shared" si="24"/>
        <v/>
      </c>
      <c r="E161" s="109" t="str">
        <f>IF(大板!C110="","",大板!C110)</f>
        <v/>
      </c>
      <c r="F161" s="110" t="str">
        <f t="shared" si="25"/>
        <v/>
      </c>
      <c r="G161" s="110" t="str">
        <f>IF(大板!E110="","",大板!E110)</f>
        <v/>
      </c>
      <c r="H161" s="110" t="str">
        <f t="shared" si="26"/>
        <v/>
      </c>
      <c r="I161" s="110" t="str">
        <f>IF(大板!F110="","",大板!F110)</f>
        <v/>
      </c>
      <c r="J161" s="110" t="str">
        <f t="shared" si="27"/>
        <v/>
      </c>
      <c r="K161" s="111" t="str">
        <f>TEXT(大板!I110,"#0.00;;;")</f>
        <v/>
      </c>
    </row>
    <row r="162" spans="2:12" ht="17.399999999999999">
      <c r="B162" s="108" t="str">
        <f>TEXT(C162,"18;;;")</f>
        <v/>
      </c>
      <c r="C162" s="109" t="str">
        <f>IF(大板!B111="","",大板!B111)</f>
        <v/>
      </c>
      <c r="D162" s="109" t="str">
        <f t="shared" si="24"/>
        <v/>
      </c>
      <c r="E162" s="109" t="str">
        <f>IF(大板!C111="","",大板!C111)</f>
        <v/>
      </c>
      <c r="F162" s="110" t="str">
        <f t="shared" si="25"/>
        <v/>
      </c>
      <c r="G162" s="110" t="str">
        <f>IF(大板!E111="","",大板!E111)</f>
        <v/>
      </c>
      <c r="H162" s="110" t="str">
        <f t="shared" si="26"/>
        <v/>
      </c>
      <c r="I162" s="110" t="str">
        <f>IF(大板!F111="","",大板!F111)</f>
        <v/>
      </c>
      <c r="J162" s="110" t="str">
        <f t="shared" si="27"/>
        <v/>
      </c>
      <c r="K162" s="111" t="str">
        <f>TEXT(大板!I111,"#0.00;;;")</f>
        <v/>
      </c>
    </row>
    <row r="163" spans="2:12" ht="17.399999999999999">
      <c r="B163" s="108" t="str">
        <f>TEXT(C163,"19;;;")</f>
        <v/>
      </c>
      <c r="C163" s="109" t="str">
        <f>IF(大板!B114="","",大板!B114)</f>
        <v/>
      </c>
      <c r="D163" s="109" t="str">
        <f t="shared" si="24"/>
        <v/>
      </c>
      <c r="E163" s="109" t="str">
        <f>IF(大板!C114="","",大板!C114)</f>
        <v/>
      </c>
      <c r="F163" s="110" t="str">
        <f t="shared" si="25"/>
        <v/>
      </c>
      <c r="G163" s="110" t="str">
        <f>IF(大板!E114="","",大板!E114)</f>
        <v/>
      </c>
      <c r="H163" s="110" t="str">
        <f t="shared" si="26"/>
        <v/>
      </c>
      <c r="I163" s="110" t="str">
        <f>IF(大板!F114="","",大板!F114)</f>
        <v/>
      </c>
      <c r="J163" s="110" t="str">
        <f t="shared" si="27"/>
        <v/>
      </c>
      <c r="K163" s="111" t="str">
        <f>TEXT(大板!I114,"#0.00;;;")</f>
        <v/>
      </c>
    </row>
    <row r="164" spans="2:12" ht="18" thickBot="1">
      <c r="B164" s="108" t="str">
        <f>IF(ISNUMBER(C164),"20","")</f>
        <v/>
      </c>
      <c r="C164" s="109" t="str">
        <f>IF(大板!B115="","",大板!B115)</f>
        <v/>
      </c>
      <c r="D164" s="109" t="str">
        <f t="shared" si="24"/>
        <v/>
      </c>
      <c r="E164" s="109" t="str">
        <f>IF(大板!C115="","",大板!C115)</f>
        <v/>
      </c>
      <c r="F164" s="110" t="str">
        <f t="shared" si="25"/>
        <v/>
      </c>
      <c r="G164" s="110" t="str">
        <f>IF(大板!E115="","",大板!E115)</f>
        <v/>
      </c>
      <c r="H164" s="110" t="str">
        <f t="shared" si="26"/>
        <v/>
      </c>
      <c r="I164" s="110" t="str">
        <f>IF(大板!F115="","",大板!F115)</f>
        <v/>
      </c>
      <c r="J164" s="110" t="str">
        <f t="shared" si="27"/>
        <v/>
      </c>
      <c r="K164" s="111" t="str">
        <f>TEXT(大板!I115,"#0.00;;;")</f>
        <v/>
      </c>
    </row>
    <row r="165" spans="2:12" s="118" customFormat="1" ht="33" customHeight="1">
      <c r="B165" s="162" t="str">
        <f>"第 7 夹，"&amp;大板!G116&amp;"件, "&amp;TEXT(大板!I116,"0.00")&amp;" ㎡"</f>
        <v>第 7 夹，0件, 0.00 ㎡</v>
      </c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</row>
    <row r="166" spans="2:12" ht="24.6" customHeight="1"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</row>
    <row r="167" spans="2:12" ht="9" customHeight="1">
      <c r="B167" s="108"/>
      <c r="C167" s="109"/>
      <c r="D167" s="109"/>
      <c r="E167" s="109"/>
      <c r="F167" s="110"/>
      <c r="G167" s="110"/>
      <c r="H167" s="110"/>
      <c r="I167" s="110"/>
      <c r="J167" s="110"/>
      <c r="K167" s="110"/>
    </row>
    <row r="168" spans="2:12" ht="17.399999999999999">
      <c r="B168" s="108" t="str">
        <f>TEXT(C168,"1;1;;")</f>
        <v/>
      </c>
      <c r="C168" s="109" t="str">
        <f>IF(大板!L94="","",大板!L94)</f>
        <v/>
      </c>
      <c r="D168" s="109" t="str">
        <f>IF(ISNUMBER(C168),"*","")</f>
        <v/>
      </c>
      <c r="E168" s="109" t="str">
        <f>IF(大板!M94="","",大板!M94)</f>
        <v/>
      </c>
      <c r="F168" s="110" t="str">
        <f>IF(ISNUMBER(G168),"(","")</f>
        <v/>
      </c>
      <c r="G168" s="110" t="str">
        <f>IF(大板!O94="","",大板!O94)</f>
        <v/>
      </c>
      <c r="H168" s="110" t="str">
        <f>IF(ISNUMBER(G168),"*","")</f>
        <v/>
      </c>
      <c r="I168" s="110" t="str">
        <f>IF(大板!P94="","",大板!P94)</f>
        <v/>
      </c>
      <c r="J168" s="110" t="str">
        <f>IF(ISNUMBER(I168),")","")</f>
        <v/>
      </c>
      <c r="K168" s="111" t="str">
        <f>TEXT(大板!S94,"#0.00;;;")</f>
        <v/>
      </c>
    </row>
    <row r="169" spans="2:12" ht="17.399999999999999">
      <c r="B169" s="108" t="str">
        <f>TEXT(C169,"2;;;")</f>
        <v/>
      </c>
      <c r="C169" s="109" t="str">
        <f>IF(大板!L95="","",大板!L95)</f>
        <v/>
      </c>
      <c r="D169" s="109" t="str">
        <f t="shared" ref="D169:D187" si="28">IF(ISNUMBER(C169),"*","")</f>
        <v/>
      </c>
      <c r="E169" s="109" t="str">
        <f>IF(大板!M95="","",大板!M95)</f>
        <v/>
      </c>
      <c r="F169" s="110" t="str">
        <f t="shared" ref="F169:F187" si="29">IF(ISNUMBER(G169),"(","")</f>
        <v/>
      </c>
      <c r="G169" s="110" t="str">
        <f>IF(大板!O95="","",大板!O95)</f>
        <v/>
      </c>
      <c r="H169" s="110" t="str">
        <f t="shared" ref="H169:H187" si="30">IF(ISNUMBER(G169),"*","")</f>
        <v/>
      </c>
      <c r="I169" s="110" t="str">
        <f>IF(大板!P95="","",大板!P95)</f>
        <v/>
      </c>
      <c r="J169" s="110" t="str">
        <f t="shared" ref="J169:J187" si="31">IF(ISNUMBER(I169),")","")</f>
        <v/>
      </c>
      <c r="K169" s="111" t="str">
        <f>TEXT(大板!S95,"#0.00;;;")</f>
        <v/>
      </c>
    </row>
    <row r="170" spans="2:12" ht="17.399999999999999">
      <c r="B170" s="108" t="str">
        <f>TEXT(C170,"3;;;")</f>
        <v/>
      </c>
      <c r="C170" s="109" t="str">
        <f>IF(大板!L96="","",大板!L96)</f>
        <v/>
      </c>
      <c r="D170" s="109" t="str">
        <f t="shared" si="28"/>
        <v/>
      </c>
      <c r="E170" s="109" t="str">
        <f>IF(大板!M96="","",大板!M96)</f>
        <v/>
      </c>
      <c r="F170" s="110" t="str">
        <f t="shared" si="29"/>
        <v/>
      </c>
      <c r="G170" s="110" t="str">
        <f>IF(大板!O96="","",大板!O96)</f>
        <v/>
      </c>
      <c r="H170" s="110" t="str">
        <f t="shared" si="30"/>
        <v/>
      </c>
      <c r="I170" s="110" t="str">
        <f>IF(大板!P96="","",大板!P96)</f>
        <v/>
      </c>
      <c r="J170" s="110" t="str">
        <f t="shared" si="31"/>
        <v/>
      </c>
      <c r="K170" s="111" t="str">
        <f>TEXT(大板!S96,"#0.00;;;")</f>
        <v/>
      </c>
    </row>
    <row r="171" spans="2:12" ht="17.399999999999999">
      <c r="B171" s="108" t="str">
        <f>TEXT(C171,"4;;;")</f>
        <v/>
      </c>
      <c r="C171" s="109" t="str">
        <f>IF(大板!L97="","",大板!L97)</f>
        <v/>
      </c>
      <c r="D171" s="109" t="str">
        <f t="shared" si="28"/>
        <v/>
      </c>
      <c r="E171" s="109" t="str">
        <f>IF(大板!M97="","",大板!M97)</f>
        <v/>
      </c>
      <c r="F171" s="110" t="str">
        <f t="shared" si="29"/>
        <v/>
      </c>
      <c r="G171" s="110" t="str">
        <f>IF(大板!O97="","",大板!O97)</f>
        <v/>
      </c>
      <c r="H171" s="110" t="str">
        <f t="shared" si="30"/>
        <v/>
      </c>
      <c r="I171" s="110" t="str">
        <f>IF(大板!P97="","",大板!P97)</f>
        <v/>
      </c>
      <c r="J171" s="110" t="str">
        <f t="shared" si="31"/>
        <v/>
      </c>
      <c r="K171" s="111" t="str">
        <f>TEXT(大板!S97,"#0.00;;;")</f>
        <v/>
      </c>
    </row>
    <row r="172" spans="2:12" ht="17.399999999999999">
      <c r="B172" s="108" t="str">
        <f>TEXT(C172,"5;;;")</f>
        <v/>
      </c>
      <c r="C172" s="109" t="str">
        <f>IF(大板!L98="","",大板!L98)</f>
        <v/>
      </c>
      <c r="D172" s="109" t="str">
        <f t="shared" si="28"/>
        <v/>
      </c>
      <c r="E172" s="109" t="str">
        <f>IF(大板!M98="","",大板!M98)</f>
        <v/>
      </c>
      <c r="F172" s="110" t="str">
        <f t="shared" si="29"/>
        <v/>
      </c>
      <c r="G172" s="110" t="str">
        <f>IF(大板!O98="","",大板!O98)</f>
        <v/>
      </c>
      <c r="H172" s="110" t="str">
        <f t="shared" si="30"/>
        <v/>
      </c>
      <c r="I172" s="110" t="str">
        <f>IF(大板!P98="","",大板!P98)</f>
        <v/>
      </c>
      <c r="J172" s="110" t="str">
        <f t="shared" si="31"/>
        <v/>
      </c>
      <c r="K172" s="111" t="str">
        <f>TEXT(大板!S98,"#0.00;;;")</f>
        <v/>
      </c>
    </row>
    <row r="173" spans="2:12" ht="17.399999999999999">
      <c r="B173" s="108" t="str">
        <f>TEXT(C173,"6;;;")</f>
        <v/>
      </c>
      <c r="C173" s="109" t="str">
        <f>IF(大板!L99="","",大板!L99)</f>
        <v/>
      </c>
      <c r="D173" s="109" t="str">
        <f t="shared" si="28"/>
        <v/>
      </c>
      <c r="E173" s="109" t="str">
        <f>IF(大板!M99="","",大板!M99)</f>
        <v/>
      </c>
      <c r="F173" s="110" t="str">
        <f t="shared" si="29"/>
        <v/>
      </c>
      <c r="G173" s="110" t="str">
        <f>IF(大板!O99="","",大板!O99)</f>
        <v/>
      </c>
      <c r="H173" s="110" t="str">
        <f t="shared" si="30"/>
        <v/>
      </c>
      <c r="I173" s="110" t="str">
        <f>IF(大板!P99="","",大板!P99)</f>
        <v/>
      </c>
      <c r="J173" s="110" t="str">
        <f t="shared" si="31"/>
        <v/>
      </c>
      <c r="K173" s="111" t="str">
        <f>TEXT(大板!S99,"#0.00;;;")</f>
        <v/>
      </c>
    </row>
    <row r="174" spans="2:12" ht="17.399999999999999">
      <c r="B174" s="108" t="str">
        <f>TEXT(C174,"7;;;")</f>
        <v/>
      </c>
      <c r="C174" s="109" t="str">
        <f>IF(大板!L100="","",大板!L100)</f>
        <v/>
      </c>
      <c r="D174" s="109" t="str">
        <f t="shared" si="28"/>
        <v/>
      </c>
      <c r="E174" s="109" t="str">
        <f>IF(大板!M100="","",大板!M100)</f>
        <v/>
      </c>
      <c r="F174" s="110" t="str">
        <f t="shared" si="29"/>
        <v/>
      </c>
      <c r="G174" s="110" t="str">
        <f>IF(大板!O100="","",大板!O100)</f>
        <v/>
      </c>
      <c r="H174" s="110" t="str">
        <f t="shared" si="30"/>
        <v/>
      </c>
      <c r="I174" s="110" t="str">
        <f>IF(大板!P100="","",大板!P100)</f>
        <v/>
      </c>
      <c r="J174" s="110" t="str">
        <f t="shared" si="31"/>
        <v/>
      </c>
      <c r="K174" s="111" t="str">
        <f>TEXT(大板!S100,"#0.00;;;")</f>
        <v/>
      </c>
    </row>
    <row r="175" spans="2:12" ht="17.399999999999999">
      <c r="B175" s="108" t="str">
        <f>TEXT(C175,"8;;;")</f>
        <v/>
      </c>
      <c r="C175" s="109" t="str">
        <f>IF(大板!L101="","",大板!L101)</f>
        <v/>
      </c>
      <c r="D175" s="109" t="str">
        <f t="shared" si="28"/>
        <v/>
      </c>
      <c r="E175" s="109" t="str">
        <f>IF(大板!M101="","",大板!M101)</f>
        <v/>
      </c>
      <c r="F175" s="110" t="str">
        <f t="shared" si="29"/>
        <v/>
      </c>
      <c r="G175" s="110" t="str">
        <f>IF(大板!O101="","",大板!O101)</f>
        <v/>
      </c>
      <c r="H175" s="110" t="str">
        <f t="shared" si="30"/>
        <v/>
      </c>
      <c r="I175" s="110" t="str">
        <f>IF(大板!P101="","",大板!P101)</f>
        <v/>
      </c>
      <c r="J175" s="110" t="str">
        <f t="shared" si="31"/>
        <v/>
      </c>
      <c r="K175" s="111" t="str">
        <f>TEXT(大板!S101,"#0.00;;;")</f>
        <v/>
      </c>
    </row>
    <row r="176" spans="2:12" ht="17.399999999999999">
      <c r="B176" s="108" t="str">
        <f>TEXT(C176,"9;;;")</f>
        <v/>
      </c>
      <c r="C176" s="109" t="str">
        <f>IF(大板!L102="","",大板!L102)</f>
        <v/>
      </c>
      <c r="D176" s="109" t="str">
        <f t="shared" si="28"/>
        <v/>
      </c>
      <c r="E176" s="109" t="str">
        <f>IF(大板!M102="","",大板!M102)</f>
        <v/>
      </c>
      <c r="F176" s="110" t="str">
        <f t="shared" si="29"/>
        <v/>
      </c>
      <c r="G176" s="110" t="str">
        <f>IF(大板!O102="","",大板!O102)</f>
        <v/>
      </c>
      <c r="H176" s="110" t="str">
        <f t="shared" si="30"/>
        <v/>
      </c>
      <c r="I176" s="110" t="str">
        <f>IF(大板!P102="","",大板!P102)</f>
        <v/>
      </c>
      <c r="J176" s="110" t="str">
        <f t="shared" si="31"/>
        <v/>
      </c>
      <c r="K176" s="111" t="str">
        <f>TEXT(大板!S102,"#0.00;;;")</f>
        <v/>
      </c>
    </row>
    <row r="177" spans="2:12" ht="17.399999999999999">
      <c r="B177" s="108" t="str">
        <f>IF(ISNUMBER(C177),"10","")</f>
        <v/>
      </c>
      <c r="C177" s="109" t="str">
        <f>IF(大板!L103="","",大板!L103)</f>
        <v/>
      </c>
      <c r="D177" s="109" t="str">
        <f t="shared" si="28"/>
        <v/>
      </c>
      <c r="E177" s="109" t="str">
        <f>IF(大板!M103="","",大板!M103)</f>
        <v/>
      </c>
      <c r="F177" s="110" t="str">
        <f t="shared" si="29"/>
        <v/>
      </c>
      <c r="G177" s="110" t="str">
        <f>IF(大板!O103="","",大板!O103)</f>
        <v/>
      </c>
      <c r="H177" s="110" t="str">
        <f t="shared" si="30"/>
        <v/>
      </c>
      <c r="I177" s="110" t="str">
        <f>IF(大板!P103="","",大板!P103)</f>
        <v/>
      </c>
      <c r="J177" s="110" t="str">
        <f t="shared" si="31"/>
        <v/>
      </c>
      <c r="K177" s="111" t="str">
        <f>TEXT(大板!S103,"#0.00;;;")</f>
        <v/>
      </c>
    </row>
    <row r="178" spans="2:12" ht="17.399999999999999">
      <c r="B178" s="108" t="str">
        <f>TEXT(C178,"11;;;")</f>
        <v/>
      </c>
      <c r="C178" s="109" t="str">
        <f>IF(大板!L104="","",大板!L104)</f>
        <v/>
      </c>
      <c r="D178" s="109" t="str">
        <f t="shared" si="28"/>
        <v/>
      </c>
      <c r="E178" s="109" t="str">
        <f>IF(大板!M104="","",大板!M104)</f>
        <v/>
      </c>
      <c r="F178" s="110" t="str">
        <f t="shared" si="29"/>
        <v/>
      </c>
      <c r="G178" s="110" t="str">
        <f>IF(大板!O104="","",大板!O104)</f>
        <v/>
      </c>
      <c r="H178" s="110" t="str">
        <f t="shared" si="30"/>
        <v/>
      </c>
      <c r="I178" s="110" t="str">
        <f>IF(大板!P104="","",大板!P104)</f>
        <v/>
      </c>
      <c r="J178" s="110" t="str">
        <f t="shared" si="31"/>
        <v/>
      </c>
      <c r="K178" s="111" t="str">
        <f>TEXT(大板!S104,"#0.00;;;")</f>
        <v/>
      </c>
    </row>
    <row r="179" spans="2:12" ht="17.399999999999999">
      <c r="B179" s="108" t="str">
        <f>TEXT(C179,"12;;;")</f>
        <v/>
      </c>
      <c r="C179" s="109" t="str">
        <f>IF(大板!L105="","",大板!L105)</f>
        <v/>
      </c>
      <c r="D179" s="109" t="str">
        <f t="shared" si="28"/>
        <v/>
      </c>
      <c r="E179" s="109" t="str">
        <f>IF(大板!M105="","",大板!M105)</f>
        <v/>
      </c>
      <c r="F179" s="110" t="str">
        <f t="shared" si="29"/>
        <v/>
      </c>
      <c r="G179" s="110" t="str">
        <f>IF(大板!O105="","",大板!O105)</f>
        <v/>
      </c>
      <c r="H179" s="110" t="str">
        <f t="shared" si="30"/>
        <v/>
      </c>
      <c r="I179" s="110" t="str">
        <f>IF(大板!P105="","",大板!P105)</f>
        <v/>
      </c>
      <c r="J179" s="110" t="str">
        <f t="shared" si="31"/>
        <v/>
      </c>
      <c r="K179" s="111" t="str">
        <f>TEXT(大板!S105,"#0.00;;;")</f>
        <v/>
      </c>
    </row>
    <row r="180" spans="2:12" ht="17.399999999999999">
      <c r="B180" s="108" t="str">
        <f>TEXT(C180,"13;;;")</f>
        <v/>
      </c>
      <c r="C180" s="109" t="str">
        <f>IF(大板!L106="","",大板!L106)</f>
        <v/>
      </c>
      <c r="D180" s="109" t="str">
        <f t="shared" si="28"/>
        <v/>
      </c>
      <c r="E180" s="109" t="str">
        <f>IF(大板!M106="","",大板!M106)</f>
        <v/>
      </c>
      <c r="F180" s="110" t="str">
        <f t="shared" si="29"/>
        <v/>
      </c>
      <c r="G180" s="110" t="str">
        <f>IF(大板!O106="","",大板!O106)</f>
        <v/>
      </c>
      <c r="H180" s="110" t="str">
        <f t="shared" si="30"/>
        <v/>
      </c>
      <c r="I180" s="110" t="str">
        <f>IF(大板!P106="","",大板!P106)</f>
        <v/>
      </c>
      <c r="J180" s="110" t="str">
        <f t="shared" si="31"/>
        <v/>
      </c>
      <c r="K180" s="111" t="str">
        <f>TEXT(大板!S106,"#0.00;;;")</f>
        <v/>
      </c>
    </row>
    <row r="181" spans="2:12" ht="17.399999999999999">
      <c r="B181" s="108" t="str">
        <f>TEXT(C181,"14;;;")</f>
        <v/>
      </c>
      <c r="C181" s="109" t="str">
        <f>IF(大板!L107="","",大板!L107)</f>
        <v/>
      </c>
      <c r="D181" s="109" t="str">
        <f t="shared" si="28"/>
        <v/>
      </c>
      <c r="E181" s="109" t="str">
        <f>IF(大板!M107="","",大板!M107)</f>
        <v/>
      </c>
      <c r="F181" s="110" t="str">
        <f t="shared" si="29"/>
        <v/>
      </c>
      <c r="G181" s="110" t="str">
        <f>IF(大板!O107="","",大板!O107)</f>
        <v/>
      </c>
      <c r="H181" s="110" t="str">
        <f t="shared" si="30"/>
        <v/>
      </c>
      <c r="I181" s="110" t="str">
        <f>IF(大板!P107="","",大板!P107)</f>
        <v/>
      </c>
      <c r="J181" s="110" t="str">
        <f t="shared" si="31"/>
        <v/>
      </c>
      <c r="K181" s="111" t="str">
        <f>TEXT(大板!S107,"#0.00;;;")</f>
        <v/>
      </c>
    </row>
    <row r="182" spans="2:12" ht="17.399999999999999">
      <c r="B182" s="108" t="str">
        <f>TEXT(C182,"15;;;")</f>
        <v/>
      </c>
      <c r="C182" s="109" t="str">
        <f>IF(大板!L108="","",大板!L108)</f>
        <v/>
      </c>
      <c r="D182" s="109" t="str">
        <f t="shared" si="28"/>
        <v/>
      </c>
      <c r="E182" s="109" t="str">
        <f>IF(大板!M108="","",大板!M108)</f>
        <v/>
      </c>
      <c r="F182" s="110" t="str">
        <f t="shared" si="29"/>
        <v/>
      </c>
      <c r="G182" s="110" t="str">
        <f>IF(大板!O108="","",大板!O108)</f>
        <v/>
      </c>
      <c r="H182" s="110" t="str">
        <f t="shared" si="30"/>
        <v/>
      </c>
      <c r="I182" s="110" t="str">
        <f>IF(大板!P108="","",大板!P108)</f>
        <v/>
      </c>
      <c r="J182" s="110" t="str">
        <f t="shared" si="31"/>
        <v/>
      </c>
      <c r="K182" s="111" t="str">
        <f>TEXT(大板!S108,"#0.00;;;")</f>
        <v/>
      </c>
    </row>
    <row r="183" spans="2:12" ht="17.399999999999999">
      <c r="B183" s="108" t="str">
        <f>TEXT(C183,"16;;;")</f>
        <v/>
      </c>
      <c r="C183" s="109" t="str">
        <f>IF(大板!L109="","",大板!L109)</f>
        <v/>
      </c>
      <c r="D183" s="109" t="str">
        <f t="shared" si="28"/>
        <v/>
      </c>
      <c r="E183" s="109" t="str">
        <f>IF(大板!M109="","",大板!M109)</f>
        <v/>
      </c>
      <c r="F183" s="110" t="str">
        <f t="shared" si="29"/>
        <v/>
      </c>
      <c r="G183" s="110" t="str">
        <f>IF(大板!O109="","",大板!O109)</f>
        <v/>
      </c>
      <c r="H183" s="110" t="str">
        <f t="shared" si="30"/>
        <v/>
      </c>
      <c r="I183" s="110" t="str">
        <f>IF(大板!P109="","",大板!P109)</f>
        <v/>
      </c>
      <c r="J183" s="110" t="str">
        <f t="shared" si="31"/>
        <v/>
      </c>
      <c r="K183" s="111" t="str">
        <f>TEXT(大板!S109,"#0.00;;;")</f>
        <v/>
      </c>
    </row>
    <row r="184" spans="2:12" ht="17.399999999999999">
      <c r="B184" s="108" t="str">
        <f>TEXT(C184,"17;;;")</f>
        <v/>
      </c>
      <c r="C184" s="109" t="str">
        <f>IF(大板!L110="","",大板!L110)</f>
        <v/>
      </c>
      <c r="D184" s="109" t="str">
        <f t="shared" si="28"/>
        <v/>
      </c>
      <c r="E184" s="109" t="str">
        <f>IF(大板!M110="","",大板!M110)</f>
        <v/>
      </c>
      <c r="F184" s="110" t="str">
        <f t="shared" si="29"/>
        <v/>
      </c>
      <c r="G184" s="110" t="str">
        <f>IF(大板!O110="","",大板!O110)</f>
        <v/>
      </c>
      <c r="H184" s="110" t="str">
        <f t="shared" si="30"/>
        <v/>
      </c>
      <c r="I184" s="110" t="str">
        <f>IF(大板!P110="","",大板!P110)</f>
        <v/>
      </c>
      <c r="J184" s="110" t="str">
        <f t="shared" si="31"/>
        <v/>
      </c>
      <c r="K184" s="111" t="str">
        <f>TEXT(大板!S110,"#0.00;;;")</f>
        <v/>
      </c>
    </row>
    <row r="185" spans="2:12" ht="17.399999999999999">
      <c r="B185" s="108" t="str">
        <f>TEXT(C185,"18;;;")</f>
        <v/>
      </c>
      <c r="C185" s="109" t="str">
        <f>IF(大板!L111="","",大板!L111)</f>
        <v/>
      </c>
      <c r="D185" s="109" t="str">
        <f t="shared" si="28"/>
        <v/>
      </c>
      <c r="E185" s="109" t="str">
        <f>IF(大板!M111="","",大板!M111)</f>
        <v/>
      </c>
      <c r="F185" s="110" t="str">
        <f t="shared" si="29"/>
        <v/>
      </c>
      <c r="G185" s="110" t="str">
        <f>IF(大板!O111="","",大板!O111)</f>
        <v/>
      </c>
      <c r="H185" s="110" t="str">
        <f t="shared" si="30"/>
        <v/>
      </c>
      <c r="I185" s="110" t="str">
        <f>IF(大板!P111="","",大板!P111)</f>
        <v/>
      </c>
      <c r="J185" s="110" t="str">
        <f t="shared" si="31"/>
        <v/>
      </c>
      <c r="K185" s="111" t="str">
        <f>TEXT(大板!S111,"#0.00;;;")</f>
        <v/>
      </c>
    </row>
    <row r="186" spans="2:12" ht="17.399999999999999">
      <c r="B186" s="108" t="str">
        <f>TEXT(C186,"19;;;")</f>
        <v/>
      </c>
      <c r="C186" s="109" t="str">
        <f>IF(大板!L114="","",大板!L114)</f>
        <v/>
      </c>
      <c r="D186" s="109" t="str">
        <f t="shared" si="28"/>
        <v/>
      </c>
      <c r="E186" s="109" t="str">
        <f>IF(大板!M114="","",大板!M114)</f>
        <v/>
      </c>
      <c r="F186" s="110" t="str">
        <f t="shared" si="29"/>
        <v/>
      </c>
      <c r="G186" s="110" t="str">
        <f>IF(大板!O114="","",大板!O114)</f>
        <v/>
      </c>
      <c r="H186" s="110" t="str">
        <f t="shared" si="30"/>
        <v/>
      </c>
      <c r="I186" s="110" t="str">
        <f>IF(大板!P114="","",大板!P114)</f>
        <v/>
      </c>
      <c r="J186" s="110" t="str">
        <f t="shared" si="31"/>
        <v/>
      </c>
      <c r="K186" s="111" t="str">
        <f>TEXT(大板!S114,"#0.00;;;")</f>
        <v/>
      </c>
    </row>
    <row r="187" spans="2:12" ht="18" thickBot="1">
      <c r="B187" s="108" t="str">
        <f>IF(ISNUMBER(C187),"20","")</f>
        <v/>
      </c>
      <c r="C187" s="109" t="str">
        <f>IF(大板!L115="","",大板!L115)</f>
        <v/>
      </c>
      <c r="D187" s="109" t="str">
        <f t="shared" si="28"/>
        <v/>
      </c>
      <c r="E187" s="109" t="str">
        <f>IF(大板!M115="","",大板!M115)</f>
        <v/>
      </c>
      <c r="F187" s="110" t="str">
        <f t="shared" si="29"/>
        <v/>
      </c>
      <c r="G187" s="110" t="str">
        <f>IF(大板!O115="","",大板!O115)</f>
        <v/>
      </c>
      <c r="H187" s="110" t="str">
        <f t="shared" si="30"/>
        <v/>
      </c>
      <c r="I187" s="110" t="str">
        <f>IF(大板!P115="","",大板!P115)</f>
        <v/>
      </c>
      <c r="J187" s="110" t="str">
        <f t="shared" si="31"/>
        <v/>
      </c>
      <c r="K187" s="111" t="str">
        <f>TEXT(大板!S115,"#0.00;;;")</f>
        <v/>
      </c>
    </row>
    <row r="188" spans="2:12" s="118" customFormat="1" ht="33" customHeight="1">
      <c r="B188" s="162" t="str">
        <f>"第 8 夹，"&amp;大板!Q116&amp;"件, "&amp;TEXT(大板!S116,"0.00")&amp;" ㎡"</f>
        <v>第 8 夹，0件, 0.00 ㎡</v>
      </c>
      <c r="C188" s="162"/>
      <c r="D188" s="162"/>
      <c r="E188" s="162"/>
      <c r="F188" s="162"/>
      <c r="G188" s="162"/>
      <c r="H188" s="162"/>
      <c r="I188" s="162"/>
      <c r="J188" s="162"/>
      <c r="K188" s="162"/>
      <c r="L188" s="162"/>
    </row>
    <row r="189" spans="2:12" ht="24.6" customHeight="1"/>
  </sheetData>
  <sheetProtection sheet="1" objects="1" scenarios="1"/>
  <mergeCells count="15">
    <mergeCell ref="E5:K5"/>
    <mergeCell ref="B165:L165"/>
    <mergeCell ref="B188:L188"/>
    <mergeCell ref="B27:L27"/>
    <mergeCell ref="B50:L50"/>
    <mergeCell ref="B73:L73"/>
    <mergeCell ref="B96:L96"/>
    <mergeCell ref="B119:L119"/>
    <mergeCell ref="B142:L142"/>
    <mergeCell ref="E2:G2"/>
    <mergeCell ref="E3:G3"/>
    <mergeCell ref="E4:G4"/>
    <mergeCell ref="H4:K4"/>
    <mergeCell ref="H3:K3"/>
    <mergeCell ref="H2:K2"/>
  </mergeCells>
  <phoneticPr fontId="3" type="noConversion"/>
  <printOptions horizontalCentered="1"/>
  <pageMargins left="0" right="0" top="0" bottom="0" header="0" footer="7.874015748031496E-2"/>
  <pageSetup paperSize="258" scale="83" orientation="portrait" horizontalDpi="203" verticalDpi="203" r:id="rId1"/>
  <headerFooter>
    <oddFooter>&amp;L&amp;"微软雅黑 Light,常规"&amp;10   厂址：广东省云浮市河口镇田心石材市场（牌坊入内50米）
   电话：0766-8237878  138-2688-4532  138-2688-8235</oddFooter>
  </headerFooter>
  <rowBreaks count="7" manualBreakCount="7">
    <brk id="28" min="1" max="11" man="1"/>
    <brk id="51" min="1" max="11" man="1"/>
    <brk id="74" min="1" max="11" man="1"/>
    <brk id="97" min="1" max="11" man="1"/>
    <brk id="120" min="1" max="11" man="1"/>
    <brk id="143" min="1" max="11" man="1"/>
    <brk id="166" min="1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0"/>
  <sheetViews>
    <sheetView zoomScale="85" zoomScaleNormal="85" workbookViewId="0">
      <selection activeCell="B7" sqref="B7"/>
    </sheetView>
  </sheetViews>
  <sheetFormatPr defaultRowHeight="22.2"/>
  <cols>
    <col min="2" max="2" width="10.3984375" customWidth="1"/>
    <col min="3" max="3" width="15.69921875" customWidth="1"/>
    <col min="4" max="4" width="8.69921875" customWidth="1"/>
    <col min="5" max="5" width="10.19921875" style="85" bestFit="1" customWidth="1"/>
    <col min="6" max="6" width="5" customWidth="1"/>
    <col min="7" max="7" width="7.69921875" style="90" customWidth="1"/>
  </cols>
  <sheetData>
    <row r="1" spans="1:7" s="2" customFormat="1" ht="36.6">
      <c r="B1" s="86"/>
      <c r="C1" s="6"/>
      <c r="D1" s="164" t="str">
        <f>"/ "&amp;LEFT(大板!B5,LENB(大板!B5)-LEN(大板!B5))</f>
        <v>/ 浅啡网</v>
      </c>
      <c r="E1" s="164"/>
      <c r="F1" s="87"/>
      <c r="G1" s="88"/>
    </row>
    <row r="2" spans="1:7" ht="15.6" customHeight="1">
      <c r="B2" s="72"/>
      <c r="E2" s="75"/>
      <c r="G2" s="89"/>
    </row>
    <row r="3" spans="1:7" ht="24.6">
      <c r="A3" s="74">
        <v>1</v>
      </c>
      <c r="B3" s="73" t="s">
        <v>17</v>
      </c>
      <c r="C3" s="77" t="str">
        <f>MID(大板!$B$5,LENB(大板!$B$5)-LEN(大板!$B$5)+1,99)</f>
        <v/>
      </c>
      <c r="D3" s="76" t="str">
        <f>大板!$C$7&amp;"/1扎"</f>
        <v>0/1扎</v>
      </c>
      <c r="E3" s="81">
        <f>大板!$H$7</f>
        <v>0</v>
      </c>
      <c r="F3" s="77" t="s">
        <v>21</v>
      </c>
      <c r="G3" s="167" t="str">
        <f>C7&amp;" - "&amp;TEXT(E7,"#0.00")</f>
        <v>0件 - 0.00</v>
      </c>
    </row>
    <row r="4" spans="1:7">
      <c r="A4" s="74"/>
      <c r="B4" s="73"/>
      <c r="C4" s="76"/>
      <c r="D4" s="78"/>
      <c r="E4" s="165"/>
      <c r="F4" s="166"/>
      <c r="G4" s="167"/>
    </row>
    <row r="5" spans="1:7">
      <c r="A5" s="74"/>
      <c r="B5" s="73" t="s">
        <v>18</v>
      </c>
      <c r="C5" s="163" t="str">
        <f>大板!B13&amp;" * "&amp;大板!C13</f>
        <v xml:space="preserve"> * </v>
      </c>
      <c r="D5" s="163"/>
      <c r="E5" s="83"/>
      <c r="F5" s="80"/>
      <c r="G5" s="167"/>
    </row>
    <row r="6" spans="1:7">
      <c r="A6" s="74"/>
      <c r="B6" s="73"/>
      <c r="C6" s="76"/>
      <c r="D6" s="76"/>
      <c r="E6" s="84"/>
      <c r="F6" s="79"/>
      <c r="G6" s="167"/>
    </row>
    <row r="7" spans="1:7" s="103" customFormat="1" ht="30" customHeight="1">
      <c r="A7" s="102"/>
      <c r="B7" s="98" t="s">
        <v>19</v>
      </c>
      <c r="C7" s="101" t="str">
        <f>大板!G35&amp;"件"</f>
        <v>0件</v>
      </c>
      <c r="D7" s="99"/>
      <c r="E7" s="100">
        <f>大板!I35</f>
        <v>0</v>
      </c>
      <c r="F7" s="101" t="s">
        <v>21</v>
      </c>
      <c r="G7" s="167"/>
    </row>
    <row r="8" spans="1:7" ht="25.8">
      <c r="A8" s="92"/>
      <c r="B8" s="92"/>
      <c r="C8" s="93"/>
      <c r="D8" s="93"/>
      <c r="E8" s="94"/>
      <c r="F8" s="95"/>
      <c r="G8" s="91" t="s">
        <v>27</v>
      </c>
    </row>
    <row r="9" spans="1:7" ht="24.6" customHeight="1">
      <c r="A9" s="74">
        <v>2</v>
      </c>
      <c r="B9" s="73" t="s">
        <v>17</v>
      </c>
      <c r="C9" s="77" t="str">
        <f>MID(大板!$B$5,LENB(大板!$B$5)-LEN(大板!$B$5)+1,99)</f>
        <v/>
      </c>
      <c r="D9" s="76" t="str">
        <f>大板!$C$7&amp;"/2扎"</f>
        <v>0/2扎</v>
      </c>
      <c r="E9" s="81">
        <f>大板!$H$7</f>
        <v>0</v>
      </c>
      <c r="F9" s="77" t="s">
        <v>21</v>
      </c>
      <c r="G9" s="167" t="str">
        <f>C13&amp;" - "&amp;TEXT(E13,"#0.00")</f>
        <v>0件 - 0.00</v>
      </c>
    </row>
    <row r="10" spans="1:7">
      <c r="A10" s="74"/>
      <c r="B10" s="73"/>
      <c r="C10" s="76"/>
      <c r="D10" s="78"/>
      <c r="E10" s="82"/>
      <c r="F10" s="79"/>
      <c r="G10" s="167"/>
    </row>
    <row r="11" spans="1:7">
      <c r="A11" s="74"/>
      <c r="B11" s="73" t="s">
        <v>18</v>
      </c>
      <c r="C11" s="163" t="str">
        <f>大板!L13&amp;" * "&amp;大板!M13</f>
        <v xml:space="preserve"> * </v>
      </c>
      <c r="D11" s="163"/>
      <c r="E11" s="80"/>
      <c r="F11" s="79"/>
      <c r="G11" s="167"/>
    </row>
    <row r="12" spans="1:7">
      <c r="A12" s="74"/>
      <c r="B12" s="73"/>
      <c r="C12" s="76"/>
      <c r="D12" s="76"/>
      <c r="E12" s="84"/>
      <c r="F12" s="79"/>
      <c r="G12" s="167"/>
    </row>
    <row r="13" spans="1:7" s="103" customFormat="1" ht="30" customHeight="1">
      <c r="A13" s="102"/>
      <c r="B13" s="98" t="s">
        <v>19</v>
      </c>
      <c r="C13" s="101" t="str">
        <f>大板!Q35&amp;"件"</f>
        <v>0件</v>
      </c>
      <c r="D13" s="99"/>
      <c r="E13" s="100">
        <f>大板!S35</f>
        <v>0</v>
      </c>
      <c r="F13" s="101" t="s">
        <v>21</v>
      </c>
      <c r="G13" s="167"/>
    </row>
    <row r="14" spans="1:7" ht="25.8">
      <c r="A14" s="92"/>
      <c r="B14" s="92"/>
      <c r="C14" s="93"/>
      <c r="D14" s="93"/>
      <c r="E14" s="94"/>
      <c r="F14" s="95"/>
      <c r="G14" s="91" t="s">
        <v>27</v>
      </c>
    </row>
    <row r="15" spans="1:7" ht="24.6" customHeight="1">
      <c r="A15" s="74">
        <v>3</v>
      </c>
      <c r="B15" s="73" t="s">
        <v>17</v>
      </c>
      <c r="C15" s="77" t="str">
        <f>MID(大板!$B$5,LENB(大板!$B$5)-LEN(大板!$B$5)+1,99)</f>
        <v/>
      </c>
      <c r="D15" s="76" t="str">
        <f>大板!$C$7&amp;"/3扎"</f>
        <v>0/3扎</v>
      </c>
      <c r="E15" s="81">
        <f>大板!$H$7</f>
        <v>0</v>
      </c>
      <c r="F15" s="77" t="s">
        <v>23</v>
      </c>
      <c r="G15" s="167" t="str">
        <f>C19&amp;" - "&amp;TEXT(E19,"#0.00")</f>
        <v>0件 - 0.00</v>
      </c>
    </row>
    <row r="16" spans="1:7">
      <c r="A16" s="74"/>
      <c r="B16" s="73"/>
      <c r="C16" s="76"/>
      <c r="D16" s="78"/>
      <c r="E16" s="82"/>
      <c r="F16" s="79"/>
      <c r="G16" s="167"/>
    </row>
    <row r="17" spans="1:7">
      <c r="A17" s="74"/>
      <c r="B17" s="73" t="s">
        <v>18</v>
      </c>
      <c r="C17" s="163" t="str">
        <f>大板!B40&amp;" * "&amp;大板!C40</f>
        <v xml:space="preserve"> * </v>
      </c>
      <c r="D17" s="163"/>
      <c r="E17" s="80"/>
      <c r="F17" s="79"/>
      <c r="G17" s="167"/>
    </row>
    <row r="18" spans="1:7">
      <c r="A18" s="74"/>
      <c r="B18" s="73"/>
      <c r="C18" s="76"/>
      <c r="D18" s="76"/>
      <c r="E18" s="84"/>
      <c r="F18" s="79"/>
      <c r="G18" s="167"/>
    </row>
    <row r="19" spans="1:7" s="103" customFormat="1" ht="30" customHeight="1">
      <c r="A19" s="102"/>
      <c r="B19" s="98" t="s">
        <v>20</v>
      </c>
      <c r="C19" s="101" t="str">
        <f>大板!G62&amp;"件"</f>
        <v>0件</v>
      </c>
      <c r="D19" s="99"/>
      <c r="E19" s="100">
        <f>大板!I62</f>
        <v>0</v>
      </c>
      <c r="F19" s="101" t="s">
        <v>24</v>
      </c>
      <c r="G19" s="167"/>
    </row>
    <row r="20" spans="1:7" ht="25.8">
      <c r="A20" s="92"/>
      <c r="B20" s="92"/>
      <c r="C20" s="93"/>
      <c r="D20" s="93"/>
      <c r="E20" s="94"/>
      <c r="F20" s="95"/>
      <c r="G20" s="91" t="s">
        <v>27</v>
      </c>
    </row>
    <row r="21" spans="1:7" ht="24.6" customHeight="1">
      <c r="A21" s="74">
        <v>4</v>
      </c>
      <c r="B21" s="73" t="s">
        <v>17</v>
      </c>
      <c r="C21" s="77" t="str">
        <f>MID(大板!$B$5,LENB(大板!$B$5)-LEN(大板!$B$5)+1,99)</f>
        <v/>
      </c>
      <c r="D21" s="76" t="str">
        <f>大板!$C$7&amp;"/4扎"</f>
        <v>0/4扎</v>
      </c>
      <c r="E21" s="81">
        <f>大板!$H$7</f>
        <v>0</v>
      </c>
      <c r="F21" s="77" t="s">
        <v>21</v>
      </c>
      <c r="G21" s="167" t="str">
        <f>C25&amp;" - "&amp;TEXT(E25,"#0.00")</f>
        <v>0件 - 0.00</v>
      </c>
    </row>
    <row r="22" spans="1:7">
      <c r="A22" s="74"/>
      <c r="B22" s="73"/>
      <c r="C22" s="76"/>
      <c r="D22" s="78"/>
      <c r="E22" s="82"/>
      <c r="F22" s="79"/>
      <c r="G22" s="167"/>
    </row>
    <row r="23" spans="1:7">
      <c r="A23" s="74"/>
      <c r="B23" s="73" t="s">
        <v>18</v>
      </c>
      <c r="C23" s="163" t="str">
        <f>大板!L40&amp;" * "&amp;大板!M40</f>
        <v xml:space="preserve"> * </v>
      </c>
      <c r="D23" s="163"/>
      <c r="E23" s="80"/>
      <c r="F23" s="79"/>
      <c r="G23" s="167"/>
    </row>
    <row r="24" spans="1:7">
      <c r="A24" s="74"/>
      <c r="B24" s="73"/>
      <c r="C24" s="76"/>
      <c r="D24" s="76"/>
      <c r="E24" s="84"/>
      <c r="F24" s="79"/>
      <c r="G24" s="167"/>
    </row>
    <row r="25" spans="1:7" s="103" customFormat="1" ht="30" customHeight="1">
      <c r="A25" s="102"/>
      <c r="B25" s="98" t="s">
        <v>19</v>
      </c>
      <c r="C25" s="101" t="str">
        <f>大板!Q62&amp;"件"</f>
        <v>0件</v>
      </c>
      <c r="D25" s="99"/>
      <c r="E25" s="100">
        <f>大板!S62</f>
        <v>0</v>
      </c>
      <c r="F25" s="101" t="s">
        <v>24</v>
      </c>
      <c r="G25" s="167"/>
    </row>
    <row r="26" spans="1:7" ht="25.8">
      <c r="A26" s="92"/>
      <c r="B26" s="92"/>
      <c r="C26" s="93"/>
      <c r="D26" s="93"/>
      <c r="E26" s="94"/>
      <c r="F26" s="95"/>
      <c r="G26" s="91" t="s">
        <v>27</v>
      </c>
    </row>
    <row r="27" spans="1:7" ht="24.6" customHeight="1">
      <c r="A27" s="74">
        <v>5</v>
      </c>
      <c r="B27" s="73" t="s">
        <v>17</v>
      </c>
      <c r="C27" s="77" t="str">
        <f>MID(大板!$B$5,LENB(大板!$B$5)-LEN(大板!$B$5)+1,99)</f>
        <v/>
      </c>
      <c r="D27" s="76" t="str">
        <f>大板!$C$7&amp;"/5扎"</f>
        <v>0/5扎</v>
      </c>
      <c r="E27" s="81">
        <f>大板!$H$7</f>
        <v>0</v>
      </c>
      <c r="F27" s="77" t="s">
        <v>25</v>
      </c>
      <c r="G27" s="167" t="str">
        <f>C31&amp;" - "&amp;TEXT(E31,"#0.00")</f>
        <v>0件 - 0.00</v>
      </c>
    </row>
    <row r="28" spans="1:7">
      <c r="A28" s="74"/>
      <c r="B28" s="73"/>
      <c r="C28" s="76"/>
      <c r="D28" s="78"/>
      <c r="E28" s="82"/>
      <c r="F28" s="79"/>
      <c r="G28" s="167"/>
    </row>
    <row r="29" spans="1:7">
      <c r="A29" s="74"/>
      <c r="B29" s="73" t="s">
        <v>18</v>
      </c>
      <c r="C29" s="163" t="str">
        <f>大板!B67&amp;" * "&amp;大板!C67</f>
        <v xml:space="preserve"> * </v>
      </c>
      <c r="D29" s="163"/>
      <c r="E29" s="80"/>
      <c r="F29" s="79"/>
      <c r="G29" s="167"/>
    </row>
    <row r="30" spans="1:7">
      <c r="A30" s="74"/>
      <c r="B30" s="73"/>
      <c r="C30" s="76"/>
      <c r="D30" s="76"/>
      <c r="E30" s="84"/>
      <c r="F30" s="79"/>
      <c r="G30" s="167"/>
    </row>
    <row r="31" spans="1:7" s="103" customFormat="1" ht="30" customHeight="1">
      <c r="A31" s="102"/>
      <c r="B31" s="98" t="s">
        <v>19</v>
      </c>
      <c r="C31" s="101" t="str">
        <f>大板!G89&amp;"件"</f>
        <v>0件</v>
      </c>
      <c r="D31" s="99"/>
      <c r="E31" s="100">
        <f>大板!I89</f>
        <v>0</v>
      </c>
      <c r="F31" s="101" t="s">
        <v>21</v>
      </c>
      <c r="G31" s="167"/>
    </row>
    <row r="32" spans="1:7" ht="25.8">
      <c r="A32" s="92"/>
      <c r="B32" s="92"/>
      <c r="C32" s="93"/>
      <c r="D32" s="93"/>
      <c r="E32" s="94"/>
      <c r="F32" s="95"/>
      <c r="G32" s="91" t="s">
        <v>27</v>
      </c>
    </row>
    <row r="33" spans="1:7" ht="24.6" customHeight="1">
      <c r="A33" s="74">
        <v>6</v>
      </c>
      <c r="B33" s="73" t="s">
        <v>17</v>
      </c>
      <c r="C33" s="77" t="str">
        <f>MID(大板!$B$5,LENB(大板!$B$5)-LEN(大板!$B$5)+1,99)</f>
        <v/>
      </c>
      <c r="D33" s="76" t="str">
        <f>大板!$C$7&amp;"/6扎"</f>
        <v>0/6扎</v>
      </c>
      <c r="E33" s="81">
        <f>大板!$H$7</f>
        <v>0</v>
      </c>
      <c r="F33" s="77" t="s">
        <v>22</v>
      </c>
      <c r="G33" s="167" t="str">
        <f>C37&amp;" - "&amp;TEXT(E37,"#0.00")</f>
        <v>0件 - 0.00</v>
      </c>
    </row>
    <row r="34" spans="1:7">
      <c r="A34" s="74"/>
      <c r="B34" s="73"/>
      <c r="C34" s="76"/>
      <c r="D34" s="78"/>
      <c r="E34" s="82"/>
      <c r="F34" s="79"/>
      <c r="G34" s="167"/>
    </row>
    <row r="35" spans="1:7">
      <c r="A35" s="74"/>
      <c r="B35" s="73" t="s">
        <v>18</v>
      </c>
      <c r="C35" s="163" t="str">
        <f>大板!L67&amp;" * "&amp;大板!M67</f>
        <v xml:space="preserve"> * </v>
      </c>
      <c r="D35" s="163"/>
      <c r="E35" s="80"/>
      <c r="F35" s="79"/>
      <c r="G35" s="167"/>
    </row>
    <row r="36" spans="1:7">
      <c r="A36" s="74"/>
      <c r="B36" s="73"/>
      <c r="C36" s="76"/>
      <c r="D36" s="76"/>
      <c r="E36" s="84"/>
      <c r="F36" s="79"/>
      <c r="G36" s="167"/>
    </row>
    <row r="37" spans="1:7" s="103" customFormat="1" ht="30" customHeight="1">
      <c r="A37" s="102"/>
      <c r="B37" s="98" t="s">
        <v>19</v>
      </c>
      <c r="C37" s="101" t="str">
        <f>大板!Q89&amp;"件"</f>
        <v>0件</v>
      </c>
      <c r="D37" s="99"/>
      <c r="E37" s="100">
        <f>大板!S89</f>
        <v>0</v>
      </c>
      <c r="F37" s="101" t="s">
        <v>26</v>
      </c>
      <c r="G37" s="167"/>
    </row>
    <row r="38" spans="1:7" ht="25.8">
      <c r="A38" s="92"/>
      <c r="B38" s="92"/>
      <c r="C38" s="93"/>
      <c r="D38" s="93"/>
      <c r="E38" s="94"/>
      <c r="F38" s="95"/>
      <c r="G38" s="91" t="s">
        <v>27</v>
      </c>
    </row>
    <row r="39" spans="1:7" ht="24.6" customHeight="1">
      <c r="A39" s="74">
        <v>7</v>
      </c>
      <c r="B39" s="73" t="s">
        <v>17</v>
      </c>
      <c r="C39" s="77" t="str">
        <f>MID(大板!$B$5,LENB(大板!$B$5)-LEN(大板!$B$5)+1,99)</f>
        <v/>
      </c>
      <c r="D39" s="76" t="str">
        <f>大板!$C$7&amp;"/7扎"</f>
        <v>0/7扎</v>
      </c>
      <c r="E39" s="81">
        <f>大板!$H$7</f>
        <v>0</v>
      </c>
      <c r="F39" s="77" t="s">
        <v>25</v>
      </c>
      <c r="G39" s="167" t="str">
        <f>C43&amp;" - "&amp;TEXT(E43,"#0.00")</f>
        <v>0件 - 0.00</v>
      </c>
    </row>
    <row r="40" spans="1:7">
      <c r="A40" s="74"/>
      <c r="B40" s="73"/>
      <c r="C40" s="76"/>
      <c r="D40" s="78"/>
      <c r="E40" s="82"/>
      <c r="F40" s="79"/>
      <c r="G40" s="167"/>
    </row>
    <row r="41" spans="1:7">
      <c r="A41" s="74"/>
      <c r="B41" s="73" t="s">
        <v>18</v>
      </c>
      <c r="C41" s="163" t="str">
        <f>大板!B94&amp;" * "&amp;大板!C94</f>
        <v xml:space="preserve"> * </v>
      </c>
      <c r="D41" s="163"/>
      <c r="E41" s="80"/>
      <c r="F41" s="79"/>
      <c r="G41" s="167"/>
    </row>
    <row r="42" spans="1:7">
      <c r="A42" s="74"/>
      <c r="B42" s="73"/>
      <c r="C42" s="76"/>
      <c r="D42" s="76"/>
      <c r="E42" s="84"/>
      <c r="F42" s="79"/>
      <c r="G42" s="167"/>
    </row>
    <row r="43" spans="1:7" s="103" customFormat="1" ht="30" customHeight="1">
      <c r="A43" s="102"/>
      <c r="B43" s="98" t="s">
        <v>19</v>
      </c>
      <c r="C43" s="101" t="str">
        <f>大板!G116&amp;"件"</f>
        <v>0件</v>
      </c>
      <c r="D43" s="99"/>
      <c r="E43" s="100">
        <f>大板!I116</f>
        <v>0</v>
      </c>
      <c r="F43" s="101" t="s">
        <v>23</v>
      </c>
      <c r="G43" s="167"/>
    </row>
    <row r="44" spans="1:7" ht="25.8">
      <c r="A44" s="92"/>
      <c r="B44" s="92"/>
      <c r="C44" s="93"/>
      <c r="D44" s="93"/>
      <c r="E44" s="94"/>
      <c r="F44" s="95"/>
      <c r="G44" s="91" t="s">
        <v>27</v>
      </c>
    </row>
    <row r="45" spans="1:7" ht="24.6" customHeight="1">
      <c r="A45" s="74">
        <v>8</v>
      </c>
      <c r="B45" s="73" t="s">
        <v>17</v>
      </c>
      <c r="C45" s="77" t="str">
        <f>MID(大板!$B$5,LENB(大板!$B$5)-LEN(大板!$B$5)+1,99)</f>
        <v/>
      </c>
      <c r="D45" s="76" t="str">
        <f>大板!$C$7&amp;"/8扎"</f>
        <v>0/8扎</v>
      </c>
      <c r="E45" s="81">
        <f>大板!$H$7</f>
        <v>0</v>
      </c>
      <c r="F45" s="77" t="s">
        <v>21</v>
      </c>
      <c r="G45" s="167" t="str">
        <f>C49&amp;" - "&amp;TEXT(E49,"#0.00")</f>
        <v>0件 - 0.00</v>
      </c>
    </row>
    <row r="46" spans="1:7">
      <c r="A46" s="74"/>
      <c r="B46" s="73"/>
      <c r="C46" s="76"/>
      <c r="D46" s="78"/>
      <c r="E46" s="82"/>
      <c r="F46" s="79"/>
      <c r="G46" s="167"/>
    </row>
    <row r="47" spans="1:7">
      <c r="A47" s="74"/>
      <c r="B47" s="73" t="s">
        <v>18</v>
      </c>
      <c r="C47" s="163" t="str">
        <f>大板!L94&amp;" * "&amp;大板!M94</f>
        <v xml:space="preserve"> * </v>
      </c>
      <c r="D47" s="163"/>
      <c r="E47" s="80"/>
      <c r="F47" s="79"/>
      <c r="G47" s="167"/>
    </row>
    <row r="48" spans="1:7">
      <c r="A48" s="74"/>
      <c r="B48" s="73"/>
      <c r="C48" s="76"/>
      <c r="D48" s="76"/>
      <c r="E48" s="84"/>
      <c r="F48" s="79"/>
      <c r="G48" s="167"/>
    </row>
    <row r="49" spans="1:7" s="103" customFormat="1" ht="30" customHeight="1">
      <c r="A49" s="102"/>
      <c r="B49" s="98" t="s">
        <v>19</v>
      </c>
      <c r="C49" s="101" t="str">
        <f>大板!Q116&amp;"件"</f>
        <v>0件</v>
      </c>
      <c r="D49" s="99"/>
      <c r="E49" s="100">
        <f>大板!S116</f>
        <v>0</v>
      </c>
      <c r="F49" s="101" t="s">
        <v>21</v>
      </c>
      <c r="G49" s="167"/>
    </row>
    <row r="50" spans="1:7" ht="25.8">
      <c r="A50" s="92"/>
      <c r="B50" s="92"/>
      <c r="C50" s="92"/>
      <c r="D50" s="92"/>
      <c r="E50" s="96"/>
      <c r="F50" s="97"/>
      <c r="G50" s="91" t="s">
        <v>27</v>
      </c>
    </row>
  </sheetData>
  <mergeCells count="18">
    <mergeCell ref="G27:G31"/>
    <mergeCell ref="G33:G37"/>
    <mergeCell ref="G39:G43"/>
    <mergeCell ref="G45:G49"/>
    <mergeCell ref="G3:G7"/>
    <mergeCell ref="G9:G13"/>
    <mergeCell ref="G15:G19"/>
    <mergeCell ref="G21:G25"/>
    <mergeCell ref="C41:D41"/>
    <mergeCell ref="C47:D47"/>
    <mergeCell ref="D1:E1"/>
    <mergeCell ref="C5:D5"/>
    <mergeCell ref="E4:F4"/>
    <mergeCell ref="C11:D11"/>
    <mergeCell ref="C17:D17"/>
    <mergeCell ref="C23:D23"/>
    <mergeCell ref="C29:D29"/>
    <mergeCell ref="C35:D35"/>
  </mergeCells>
  <phoneticPr fontId="3" type="noConversion"/>
  <printOptions horizontalCentered="1"/>
  <pageMargins left="3.937007874015748E-2" right="0" top="0" bottom="7.874015748031496E-2" header="0.31496062992125984" footer="3.937007874015748E-2"/>
  <pageSetup paperSize="260" scale="78" orientation="portrait" horizontalDpi="203" verticalDpi="203" r:id="rId1"/>
  <headerFooter scaleWithDoc="0">
    <oddFooter>&amp;L&amp;"微软雅黑 Light,常规"&amp;8   厂址：广东省云浮市河口镇田心石材市场（牌坊入内50米）
   电话：0766-8237878  138-2688-8235</oddFooter>
  </headerFooter>
  <rowBreaks count="7" manualBreakCount="7">
    <brk id="8" min="1" max="6" man="1"/>
    <brk id="14" min="1" max="6" man="1"/>
    <brk id="20" min="1" max="6" man="1"/>
    <brk id="26" min="1" max="6" man="1"/>
    <brk id="32" min="1" max="6" man="1"/>
    <brk id="38" min="1" max="6" man="1"/>
    <brk id="44" min="1" max="6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J1"/>
  <sheetViews>
    <sheetView workbookViewId="0">
      <selection activeCell="D10" sqref="D10"/>
    </sheetView>
  </sheetViews>
  <sheetFormatPr defaultRowHeight="15.6"/>
  <sheetData>
    <row r="1" spans="1:10">
      <c r="A1" s="121" t="s">
        <v>43</v>
      </c>
      <c r="B1" s="121" t="s">
        <v>44</v>
      </c>
      <c r="C1" s="121" t="s">
        <v>45</v>
      </c>
      <c r="E1" s="121" t="s">
        <v>46</v>
      </c>
      <c r="F1" s="121" t="s">
        <v>47</v>
      </c>
      <c r="G1" s="121" t="s">
        <v>48</v>
      </c>
      <c r="H1" s="121" t="s">
        <v>49</v>
      </c>
      <c r="I1" s="121" t="s">
        <v>50</v>
      </c>
      <c r="J1" s="121" t="s">
        <v>51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</vt:i4>
      </vt:variant>
    </vt:vector>
  </HeadingPairs>
  <TitlesOfParts>
    <vt:vector size="11" baseType="lpstr">
      <vt:lpstr>大板</vt:lpstr>
      <vt:lpstr>大标签</vt:lpstr>
      <vt:lpstr>标签</vt:lpstr>
      <vt:lpstr>格式</vt:lpstr>
      <vt:lpstr>标签!Print_Area</vt:lpstr>
      <vt:lpstr>大板!Print_Area</vt:lpstr>
      <vt:lpstr>大标签!Print_Area</vt:lpstr>
      <vt:lpstr>标签!Print_Titles</vt:lpstr>
      <vt:lpstr>大板!Print_Titles</vt:lpstr>
      <vt:lpstr>大标签!Print_Titles</vt:lpstr>
      <vt:lpstr>厚度规格</vt:lpstr>
    </vt:vector>
  </TitlesOfParts>
  <Company>华新电脑专业代装系统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Pun</dc:creator>
  <cp:lastModifiedBy>Vincent Pun</cp:lastModifiedBy>
  <cp:lastPrinted>2015-12-05T03:18:48Z</cp:lastPrinted>
  <dcterms:created xsi:type="dcterms:W3CDTF">2007-12-21T06:54:36Z</dcterms:created>
  <dcterms:modified xsi:type="dcterms:W3CDTF">2016-10-02T03:53:19Z</dcterms:modified>
</cp:coreProperties>
</file>